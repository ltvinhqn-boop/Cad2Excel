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05. PLUGIN AUTOCAD\02. CAD2EXCEL\CAD2EXCEL\CAD2EXCEL\Resources\"/>
    </mc:Choice>
  </mc:AlternateContent>
  <xr:revisionPtr revIDLastSave="0" documentId="8_{AA31B61B-4793-4E46-9DDB-93175D4056C3}" xr6:coauthVersionLast="47" xr6:coauthVersionMax="47" xr10:uidLastSave="{00000000-0000-0000-0000-000000000000}"/>
  <bookViews>
    <workbookView xWindow="-120" yWindow="-120" windowWidth="29040" windowHeight="15840" tabRatio="503" xr2:uid="{00000000-000D-0000-FFFF-FFFF00000000}"/>
  </bookViews>
  <sheets>
    <sheet name="DMVT" sheetId="2" r:id="rId1"/>
    <sheet name="KL RIENG" sheetId="47" r:id="rId2"/>
    <sheet name="THEP HINH" sheetId="4" r:id="rId3"/>
    <sheet name="VT PHU XDG" sheetId="31" state="hidden" r:id="rId4"/>
    <sheet name="VT PHU CNC" sheetId="36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____________NSO2" hidden="1">{"'Sheet1'!$L$16"}</definedName>
    <definedName name="_____________NSO2" hidden="1">{"'Sheet1'!$L$16"}</definedName>
    <definedName name="____________f5" hidden="1">{"'Sheet1'!$L$16"}</definedName>
    <definedName name="____________NSO2" hidden="1">{"'Sheet1'!$L$16"}</definedName>
    <definedName name="___________f5" hidden="1">{"'Sheet1'!$L$16"}</definedName>
    <definedName name="___________NSO2" hidden="1">{"'Sheet1'!$L$16"}</definedName>
    <definedName name="__________f5" hidden="1">{"'Sheet1'!$L$16"}</definedName>
    <definedName name="__________NSO2" hidden="1">{"'Sheet1'!$L$16"}</definedName>
    <definedName name="_________f5" hidden="1">{"'Sheet1'!$L$16"}</definedName>
    <definedName name="_________NSO2" hidden="1">{"'Sheet1'!$L$16"}</definedName>
    <definedName name="________f5" hidden="1">{"'Sheet1'!$L$16"}</definedName>
    <definedName name="________NSO2" hidden="1">{"'Sheet1'!$L$16"}</definedName>
    <definedName name="_______f5" hidden="1">{"'Sheet1'!$L$16"}</definedName>
    <definedName name="_______NSO2" hidden="1">{"'Sheet1'!$L$16"}</definedName>
    <definedName name="______f5" hidden="1">{"'Sheet1'!$L$16"}</definedName>
    <definedName name="______NSO2" hidden="1">{"'Sheet1'!$L$16"}</definedName>
    <definedName name="_____f5" hidden="1">{"'Sheet1'!$L$16"}</definedName>
    <definedName name="_____NSO2" hidden="1">{"'Sheet1'!$L$16"}</definedName>
    <definedName name="____f5" hidden="1">{"'Sheet1'!$L$16"}</definedName>
    <definedName name="____NSO2" hidden="1">{"'Sheet1'!$L$16"}</definedName>
    <definedName name="___lk2" hidden="1">{"'Sheet1'!$L$16"}</definedName>
    <definedName name="___NSO2" hidden="1">{"'Sheet1'!$L$16"}</definedName>
    <definedName name="___PA3" hidden="1">{"'Sheet1'!$L$16"}</definedName>
    <definedName name="__a1" hidden="1">{"'Sheet1'!$L$16"}</definedName>
    <definedName name="__f5" hidden="1">{"'Sheet1'!$L$16"}</definedName>
    <definedName name="__IntlFixup" hidden="1">TRUE</definedName>
    <definedName name="__lk2" hidden="1">{"'Sheet1'!$L$16"}</definedName>
    <definedName name="__NSO2" hidden="1">{"'Sheet1'!$L$16"}</definedName>
    <definedName name="__PA3" hidden="1">{"'Sheet1'!$L$16"}</definedName>
    <definedName name="__xlfn.BAHTTEXT" hidden="1">#NAME?</definedName>
    <definedName name="_a1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f5" hidden="1">{"'Sheet1'!$L$16"}</definedName>
    <definedName name="_Fill" hidden="1">#REF!</definedName>
    <definedName name="_xlnm._FilterDatabase" localSheetId="0" hidden="1">DMVT!$A$6:$AR$37</definedName>
    <definedName name="_xlnm._FilterDatabase" localSheetId="2" hidden="1">'THEP HINH'!$A$3:$G$117</definedName>
    <definedName name="_xlnm._FilterDatabase" localSheetId="4" hidden="1">'VT PHU CNC'!$A$4:$D$4</definedName>
    <definedName name="_xlnm._FilterDatabase" hidden="1">#REF!</definedName>
    <definedName name="_KDX3">#N/A</definedName>
    <definedName name="_Key1" hidden="1">[1]외주현황.wq1!$E$403:$E$455</definedName>
    <definedName name="_Key2" hidden="1">#REF!</definedName>
    <definedName name="_lk2" hidden="1">{"'Sheet1'!$L$16"}</definedName>
    <definedName name="_LPS2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SO2" localSheetId="4" hidden="1">{"'Sheet1'!$L$16"}</definedName>
    <definedName name="_NSO2" hidden="1">{"'Sheet1'!$L$16"}</definedName>
    <definedName name="_Order1" hidden="1">255</definedName>
    <definedName name="_Order2" hidden="1">255</definedName>
    <definedName name="_PA3" hidden="1">{"'Sheet1'!$L$16"}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Regression_Int" hidden="1">1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ort" hidden="1">#REF!</definedName>
    <definedName name="_T11" hidden="1">{"'Sheet1'!$L$16"}</definedName>
    <definedName name="_T2" hidden="1">{#N/A,#N/A,FALSE,"단축1";#N/A,#N/A,FALSE,"단축2";#N/A,#N/A,FALSE,"단축3";#N/A,#N/A,FALSE,"장축";#N/A,#N/A,FALSE,"4WD"}</definedName>
    <definedName name="_T95" hidden="1">{"'Sheet1'!$L$16"}</definedName>
    <definedName name="_tam1">[2]XL4Poppy!$C$31</definedName>
    <definedName name="_XDo100">'[3]DG 285'!$B$236</definedName>
    <definedName name="_XDo140">'[3]DG 285'!$B$237</definedName>
    <definedName name="_XDo230">'[3]DG 285'!$B$238</definedName>
    <definedName name="_XDo25">'[3]DG 285'!$B$234</definedName>
    <definedName name="_XDo320">'[3]DG 285'!$B$239</definedName>
    <definedName name="_XDo50">'[3]DG 285'!$B$235</definedName>
    <definedName name="a">#REF!</definedName>
    <definedName name="A1_00근거" hidden="1">{#N/A,#N/A,FALSE,"단축1";#N/A,#N/A,FALSE,"단축2";#N/A,#N/A,FALSE,"단축3";#N/A,#N/A,FALSE,"장축";#N/A,#N/A,FALSE,"4WD"}</definedName>
    <definedName name="AAAAA" hidden="1">{#N/A,#N/A,FALSE,"단축1";#N/A,#N/A,FALSE,"단축2";#N/A,#N/A,FALSE,"단축3";#N/A,#N/A,FALSE,"장축";#N/A,#N/A,FALSE,"4WD"}</definedName>
    <definedName name="aaaaaaaaaaaaa" hidden="1">{"'Sheet1'!$L$16"}</definedName>
    <definedName name="ABC" hidden="1">{"'Sheet1'!$L$16"}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afaffff" hidden="1">{"'Sheet1'!$L$16"}</definedName>
    <definedName name="AEDQWDE" localSheetId="4" hidden="1">{"'Sheet1'!$L$16"}</definedName>
    <definedName name="AEDQWDE" hidden="1">{"'Sheet1'!$L$16"}</definedName>
    <definedName name="ăfwaf" hidden="1">{"'Sheet1'!$L$16"}</definedName>
    <definedName name="an">'[4]M6A-208 Steering dust'!#REF!</definedName>
    <definedName name="anhung2">{"th152.xls"}</definedName>
    <definedName name="Aptomat">'[3]DG  286'!$A$90:$G$155</definedName>
    <definedName name="AQ">#REF!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VersionLS" hidden="1">300</definedName>
    <definedName name="b">#REF!</definedName>
    <definedName name="b1_">#REF!</definedName>
    <definedName name="b2_">#REF!</definedName>
    <definedName name="b3_">#REF!</definedName>
    <definedName name="b4_">#REF!</definedName>
    <definedName name="bangchu">#REF!</definedName>
    <definedName name="BDBDB" localSheetId="4" hidden="1">{"'Sheet1'!$L$16"}</definedName>
    <definedName name="BDBDB" hidden="1">{"'Sheet1'!$L$16"}</definedName>
    <definedName name="BDFBF" localSheetId="4" hidden="1">{"'Sheet1'!$L$16"}</definedName>
    <definedName name="BDFBF" hidden="1">{"'Sheet1'!$L$16"}</definedName>
    <definedName name="BDTC_285">'[3]DG 285'!$A$59:$G$119</definedName>
    <definedName name="bengam">#REF!</definedName>
    <definedName name="benuoc">#REF!</definedName>
    <definedName name="BFNGFN" localSheetId="4" hidden="1">{"'Sheet1'!$L$16"}</definedName>
    <definedName name="BFNGFN" hidden="1">{"'Sheet1'!$L$16"}</definedName>
    <definedName name="BG_Del" hidden="1">15</definedName>
    <definedName name="BG_Ins" hidden="1">4</definedName>
    <definedName name="BG_Mod" hidden="1">6</definedName>
    <definedName name="bjklfs" hidden="1">#REF!</definedName>
    <definedName name="bn" localSheetId="4" hidden="1">{"'Sheet1'!$L$16"}</definedName>
    <definedName name="bn" hidden="1">{"'Sheet1'!$L$16"}</definedName>
    <definedName name="BNDFBNDF" localSheetId="4" hidden="1">{"'Sheet1'!$L$16"}</definedName>
    <definedName name="BNDFBNDF" hidden="1">{"'Sheet1'!$L$16"}</definedName>
    <definedName name="c_">#REF!</definedName>
    <definedName name="CACAU">325976</definedName>
    <definedName name="cao">#REF!</definedName>
    <definedName name="capduong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dhrht">[5]CPKS_TK!#REF!</definedName>
    <definedName name="chilk" hidden="1">{"'Sheet1'!$L$16"}</definedName>
    <definedName name="Choices_Wrapper">#N/A</definedName>
    <definedName name="chulai" localSheetId="4" hidden="1">{"'Sheet1'!$L$16"}</definedName>
    <definedName name="chulai" hidden="1">{"'Sheet1'!$L$16"}</definedName>
    <definedName name="ci" hidden="1">{#N/A,#N/A,FALSE,"단축1";#N/A,#N/A,FALSE,"단축2";#N/A,#N/A,FALSE,"단축3";#N/A,#N/A,FALSE,"장축";#N/A,#N/A,FALSE,"4WD"}</definedName>
    <definedName name="CLAIM">3</definedName>
    <definedName name="CLVC3">0.1</definedName>
    <definedName name="coc">#REF!</definedName>
    <definedName name="cocbtct">#REF!</definedName>
    <definedName name="cocot">#REF!</definedName>
    <definedName name="cocott">#REF!</definedName>
    <definedName name="CocTD2">'[3]DG 285'!$B$228:$G$231</definedName>
    <definedName name="CocTD2.5">'[3]DG 285'!$B$223:$G$226</definedName>
    <definedName name="Code" hidden="1">#REF!</definedName>
    <definedName name="comong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ttron">#REF!</definedName>
    <definedName name="cotvuong">#REF!</definedName>
    <definedName name="Cöûa_ÑI_NHOÂM_KÍNH_5LY">[6]THVT!#REF!</definedName>
    <definedName name="CTCT1" hidden="1">{"'Sheet1'!$L$16"}</definedName>
    <definedName name="Culy">#REF!</definedName>
    <definedName name="cuoc">#REF!</definedName>
    <definedName name="d">#REF!</definedName>
    <definedName name="d1_">#REF!</definedName>
    <definedName name="d2_">#REF!</definedName>
    <definedName name="d3_">#REF!</definedName>
    <definedName name="d4_">#REF!</definedName>
    <definedName name="d5_">#REF!</definedName>
    <definedName name="dâdaw" hidden="1">{"'Sheet1'!$L$16"}</definedName>
    <definedName name="dăfwafw" hidden="1">{"'Sheet1'!$L$16"}</definedName>
    <definedName name="dam">#REF!</definedName>
    <definedName name="danducsan">#REF!</definedName>
    <definedName name="Daodat_Td">'[3]DG 285'!$B$171:$G$174</definedName>
    <definedName name="Daodat1">'[3]DG 285'!$B$135:$G$138</definedName>
    <definedName name="Daodat2">'[3]DG 285'!$B$140:$G$143</definedName>
    <definedName name="Daodat3">'[3]DG 285'!$B$145:$G$148</definedName>
    <definedName name="Daodat4">'[3]DG 285'!$B$150:$G$153</definedName>
    <definedName name="Daodat5">'[3]DG 285'!$B$155:$G$158</definedName>
    <definedName name="Dapdat">'[3]DG 285'!$B$165:$G$168</definedName>
    <definedName name="data1" hidden="1">#REF!</definedName>
    <definedName name="data2" hidden="1">#REF!</definedName>
    <definedName name="data3" hidden="1">#REF!</definedName>
    <definedName name="DayTD1">'[3]DG 285'!$B$215:$G$217</definedName>
    <definedName name="DayTD2">'[3]DG 285'!$B$219:$G$221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DD" hidden="1">{#N/A,#N/A,FALSE,"단축1";#N/A,#N/A,FALSE,"단축2";#N/A,#N/A,FALSE,"단축3";#N/A,#N/A,FALSE,"장축";#N/A,#N/A,FALSE,"4WD"}</definedName>
    <definedName name="df" localSheetId="4" hidden="1">{"'Sheet1'!$L$16"}</definedName>
    <definedName name="df" hidden="1">{"'Sheet1'!$L$16"}</definedName>
    <definedName name="dfdfgffg" localSheetId="4" hidden="1">{"'Sheet1'!$L$16"}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ghrt" hidden="1">{"'Sheet1'!$L$16"}</definedName>
    <definedName name="DG_285">'[3]DG 285'!$B$7:$G$2388</definedName>
    <definedName name="DG_286">'[3]DG  286'!$B$6:$G$1500</definedName>
    <definedName name="DG_85">'[3]DG 85'!$B$6:$G$1580</definedName>
    <definedName name="DG_89">'[3]DG 89'!$A$5:$G$45</definedName>
    <definedName name="DGTB">'[3]DG THIET BI'!$B$5:$G$1502</definedName>
    <definedName name="DGVCTC285">'[3]DGVCTC 285'!$A$7:$K$29</definedName>
    <definedName name="DGVL">'[3]DG vat lieu'!$B$5:$G$1575</definedName>
    <definedName name="dientichck">#REF!</definedName>
    <definedName name="Discount" hidden="1">#REF!</definedName>
    <definedName name="display_area_2" hidden="1">#REF!</definedName>
    <definedName name="DJ" hidden="1">[7]CAUDIT!#REF!</definedName>
    <definedName name="DLDL" hidden="1">{#N/A,#N/A,FALSE,"단축1";#N/A,#N/A,FALSE,"단축2";#N/A,#N/A,FALSE,"단축3";#N/A,#N/A,FALSE,"장축";#N/A,#N/A,FALSE,"4WD"}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cument_array">{"th152.xls"}</definedName>
    <definedName name="DOM">#N/A</definedName>
    <definedName name="DOMUSAGER">#N/A</definedName>
    <definedName name="DOMUSA저장">#N/A</definedName>
    <definedName name="DOM전장">#N/A</definedName>
    <definedName name="ds">#REF!</definedName>
    <definedName name="dscs" hidden="1">#REF!</definedName>
    <definedName name="đsfà" localSheetId="4" hidden="1">{"'Sheet1'!$L$16"}</definedName>
    <definedName name="đsfà" hidden="1">{"'Sheet1'!$L$16"}</definedName>
    <definedName name="DSNL">{"th152.xls"}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uy" hidden="1">{#N/A,#N/A,TRUE,"BT M200 da 10x20"}</definedName>
    <definedName name="duyn">{"Book1","sotheodoiT8.xls"}</definedName>
    <definedName name="DW" hidden="1">{#N/A,#N/A,FALSE,"사업"}</definedName>
    <definedName name="EOGH" hidden="1">{#N/A,#N/A,FALSE,"단축1";#N/A,#N/A,FALSE,"단축2";#N/A,#N/A,FALSE,"단축3";#N/A,#N/A,FALSE,"장축";#N/A,#N/A,FALSE,"4WD"}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">#REF!</definedName>
    <definedName name="fafaw" hidden="1">{"'Sheet1'!$L$16"}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Code" hidden="1">#REF!</definedName>
    <definedName name="fff" hidden="1">{#N/A,#N/A,FALSE,"사업"}</definedName>
    <definedName name="fg" localSheetId="4" hidden="1">{"'Sheet1'!$L$16"}</definedName>
    <definedName name="fg" hidden="1">{"'Sheet1'!$L$16"}</definedName>
    <definedName name="FGF">2</definedName>
    <definedName name="fgfg" hidden="1">{#N/A,#N/A,FALSE,"기초1";#N/A,#N/A,FALSE,"기초2"}</definedName>
    <definedName name="FGHJ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REEWHEEL" hidden="1">[8]CAUDIT!#REF!</definedName>
    <definedName name="fs">#REF!</definedName>
    <definedName name="FWEFWE" hidden="1">{#N/A,#N/A,FALSE,"단축1";#N/A,#N/A,FALSE,"단축2";#N/A,#N/A,FALSE,"단축3";#N/A,#N/A,FALSE,"장축";#N/A,#N/A,FALSE,"4WD"}</definedName>
    <definedName name="fwfwqgf" localSheetId="4" hidden="1">{"'Sheet1'!$L$16"}</definedName>
    <definedName name="fwfwqgf" hidden="1">{"'Sheet1'!$L$16"}</definedName>
    <definedName name="g">#REF!</definedName>
    <definedName name="gc">#REF!</definedName>
    <definedName name="GDS" localSheetId="4" hidden="1">{"'Sheet1'!$L$16"}</definedName>
    <definedName name="GDS" hidden="1">{"'Sheet1'!$L$16"}</definedName>
    <definedName name="GELALL">#N/A</definedName>
    <definedName name="GELALL전장2">#N/A</definedName>
    <definedName name="GER">#N/A</definedName>
    <definedName name="GER전장">#N/A</definedName>
    <definedName name="GEWH" localSheetId="4" hidden="1">{"'Sheet1'!$L$16"}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ege" localSheetId="4" hidden="1">{"'Sheet1'!$L$16"}</definedName>
    <definedName name="gfege" hidden="1">{"'Sheet1'!$L$16"}</definedName>
    <definedName name="gfggdfd" hidden="1">{"'Sheet1'!$L$16"}</definedName>
    <definedName name="GGH">14</definedName>
    <definedName name="gh" hidden="1">#REF!</definedName>
    <definedName name="GRADE" hidden="1">'[9]JT3.0견적-구1'!$A$1:$IV$4010</definedName>
    <definedName name="gs">#REF!</definedName>
    <definedName name="GU" hidden="1">{"'Sheet1'!$L$16"}</definedName>
    <definedName name="GƯD" localSheetId="4" hidden="1">{"'Sheet1'!$L$16"}</definedName>
    <definedName name="GƯD" hidden="1">{"'Sheet1'!$L$16"}</definedName>
    <definedName name="gXM">1700</definedName>
    <definedName name="gyu" hidden="1">{#N/A,#N/A,FALSE,"Chi tiÆt"}</definedName>
    <definedName name="h" hidden="1">{"'Sheet1'!$L$16"}</definedName>
    <definedName name="hc">#REF!</definedName>
    <definedName name="Heä_soá_laép_xaø_H">1.7</definedName>
    <definedName name="Height">30</definedName>
    <definedName name="HHHHHHHHHH" hidden="1">{#N/A,#N/A,FALSE,"단축1";#N/A,#N/A,FALSE,"단축2";#N/A,#N/A,FALSE,"단축3";#N/A,#N/A,FALSE,"장축";#N/A,#N/A,FALSE,"4WD"}</definedName>
    <definedName name="HiddenRows" hidden="1">#REF!</definedName>
    <definedName name="hjjkl" hidden="1">{"'Sheet1'!$L$16"}</definedName>
    <definedName name="HSCT3">0.1</definedName>
    <definedName name="HSDN">2.5</definedName>
    <definedName name="Ht">#REF!</definedName>
    <definedName name="HTML_CodePage" hidden="1">950</definedName>
    <definedName name="HTML_Control" localSheetId="4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4" hidden="1">{"'Sheet1'!$L$16"}</definedName>
    <definedName name="huy" hidden="1">{"'Sheet1'!$L$16"}</definedName>
    <definedName name="ic" hidden="1">{#N/A,#N/A,FALSE,"단축1";#N/A,#N/A,FALSE,"단축2";#N/A,#N/A,FALSE,"단축3";#N/A,#N/A,FALSE,"장축";#N/A,#N/A,FALSE,"4WD"}</definedName>
    <definedName name="IIII" hidden="1">{#N/A,#N/A,FALSE,"단축1";#N/A,#N/A,FALSE,"단축2";#N/A,#N/A,FALSE,"단축3";#N/A,#N/A,FALSE,"장축";#N/A,#N/A,FALSE,"4WD"}</definedName>
    <definedName name="IOS" hidden="1">[10]CAUDIT!#REF!</definedName>
    <definedName name="Ip">#REF!</definedName>
    <definedName name="IYYY" hidden="1">[8]CAUDIT!#REF!</definedName>
    <definedName name="j">#REF!</definedName>
    <definedName name="JJJJ" hidden="1">[10]CAUDIT!#REF!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EY" hidden="1">[10]CAUDIT!#REF!</definedName>
    <definedName name="khang" hidden="1">{"'Sheet1'!$L$16"}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M" hidden="1">{#N/A,#N/A,FALSE,"기초1";#N/A,#N/A,FALSE,"기초2"}</definedName>
    <definedName name="KL">#REF!</definedName>
    <definedName name="KP">#REF!</definedName>
    <definedName name="L">#REF!</definedName>
    <definedName name="lan" hidden="1">{#N/A,#N/A,TRUE,"BT M200 da 10x20"}</definedName>
    <definedName name="lanhto">#REF!</definedName>
    <definedName name="Lapdat">'[3]DG 285'!$B$160:$G$163</definedName>
    <definedName name="Lapdat_Td">'[3]DG 285'!$B$176:$G$179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3차서">#N/A</definedName>
    <definedName name="LL">'[11]Danh sach Hàn thùng'!#REF!</definedName>
    <definedName name="lôa33BT5" hidden="1">{"'Sheet1'!$L$16"}</definedName>
    <definedName name="lps" hidden="1">{#N/A,#N/A,FALSE,"단축1";#N/A,#N/A,FALSE,"단축2";#N/A,#N/A,FALSE,"단축3";#N/A,#N/A,FALSE,"장축";#N/A,#N/A,FALSE,"4WD"}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">#REF!</definedName>
    <definedName name="MIPX3">#N/A</definedName>
    <definedName name="mongbang">#REF!</definedName>
    <definedName name="mongdon">#REF!</definedName>
    <definedName name="MS">'[11]Danh sach Hàn thùng'!#REF!</definedName>
    <definedName name="n">#REF!</definedName>
    <definedName name="NC01.DOT" localSheetId="0">DMVT!#REF!</definedName>
    <definedName name="NC02.CHAN" localSheetId="0">DMVT!#REF!</definedName>
    <definedName name="NC03.TIEN_TRON_XDG" localSheetId="0">DMVT!#REF!</definedName>
    <definedName name="NC04.TIEN_RANH_XDG" localSheetId="0">DMVT!#REF!</definedName>
    <definedName name="NC05.TIEN_KHOAN_XDG" localSheetId="0">DMVT!#REF!</definedName>
    <definedName name="NC06.TIEN_REN_XDG" localSheetId="0">DMVT!#REF!</definedName>
    <definedName name="NC07.TG_TONG_TIEN_XDG" localSheetId="0">DMVT!#REF!</definedName>
    <definedName name="NC08.PHAY_MAT_XDG" localSheetId="0">DMVT!#REF!</definedName>
    <definedName name="NC09.PHAY_HOC_XDG" localSheetId="0">DMVT!#REF!</definedName>
    <definedName name="NC10.PHAY_KHOAN_XDG" localSheetId="0">DMVT!#REF!</definedName>
    <definedName name="NC11.TARO_XDG" localSheetId="0">DMVT!#REF!</definedName>
    <definedName name="NC12.TG_TONG_NGUOI_XDG" localSheetId="0">DMVT!#REF!</definedName>
    <definedName name="NC13.TIEN_TRON_CNC" localSheetId="0">DMVT!#REF!</definedName>
    <definedName name="NC14.TIEN_KHOAN_CNC" localSheetId="0">DMVT!#REF!</definedName>
    <definedName name="NC15.TIEN_RANH_CNC" localSheetId="0">DMVT!#REF!</definedName>
    <definedName name="NC16.TIEN_REN_CNC" localSheetId="0">DMVT!#REF!</definedName>
    <definedName name="NC17.TG_TONG_TIEN_CNC" localSheetId="0">DMVT!#REF!</definedName>
    <definedName name="NC18.PHAY_MAT_CNC" localSheetId="0">DMVT!#REF!</definedName>
    <definedName name="NC19.PHAY_HOC_CNC" localSheetId="0">DMVT!#REF!</definedName>
    <definedName name="NC20.PHAY_BIENDANG_CNC" localSheetId="0">DMVT!#REF!</definedName>
    <definedName name="NC21.PHAY_KHOAN_CNC" localSheetId="0">DMVT!#REF!</definedName>
    <definedName name="NC22.TG_TONG_NGUOI_CNC" localSheetId="0">DMVT!#REF!</definedName>
    <definedName name="NC23.UON_ONG" localSheetId="0">DMVT!#REF!</definedName>
    <definedName name="NC24.HAN_ĐHN" localSheetId="0">DMVT!#REF!</definedName>
    <definedName name="NC25.HAN_BAM" localSheetId="0">DMVT!#REF!</definedName>
    <definedName name="NC26.KVT" localSheetId="0">DMVT!#REF!</definedName>
    <definedName name="ner" localSheetId="4" hidden="1">{"'Sheet1'!$L$16"}</definedName>
    <definedName name="ner" hidden="1">{"'Sheet1'!$L$16"}</definedName>
    <definedName name="NGAYBATDAU">#REF!</definedName>
    <definedName name="Nguội">'[4]M6A-208 Steering dust'!#REF!</definedName>
    <definedName name="Nhan">'[11]Danh sach Hàn thùng'!$H:$H</definedName>
    <definedName name="nnnn" hidden="1">{#N/A,#N/A,FALSE,"강교";#N/A,#N/A,FALSE,"한전";#N/A,#N/A,FALSE,"중방";#N/A,#N/A,FALSE,"회소"}</definedName>
    <definedName name="Np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rderTable" hidden="1">#REF!</definedName>
    <definedName name="PA" hidden="1">'[9]JT3.0견적-구1'!$A$1:$IV$4010</definedName>
    <definedName name="PACKAGE3" hidden="1">{#N/A,#N/A,FALSE,"단축1";#N/A,#N/A,FALSE,"단축2";#N/A,#N/A,FALSE,"단축3";#N/A,#N/A,FALSE,"장축";#N/A,#N/A,FALSE,"4WD"}</definedName>
    <definedName name="panen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LAN_2">1</definedName>
    <definedName name="POIL" hidden="1">{#N/A,#N/A,FALSE,"단축1";#N/A,#N/A,FALSE,"단축2";#N/A,#N/A,FALSE,"단축3";#N/A,#N/A,FALSE,"장축";#N/A,#N/A,FALSE,"4WD"}</definedName>
    <definedName name="pp" hidden="1">[7]CAUDIT!#REF!</definedName>
    <definedName name="_xlnm.Print_Area" localSheetId="0">DMVT!$A$1:$AO$47</definedName>
    <definedName name="_xlnm.Print_Titles" localSheetId="0">DMVT!$3:$6</definedName>
    <definedName name="_xlnm.Print_Titles">#N/A</definedName>
    <definedName name="ProdForm" hidden="1">#REF!</definedName>
    <definedName name="Product" hidden="1">#REF!</definedName>
    <definedName name="q">#REF!</definedName>
    <definedName name="qc">#REF!</definedName>
    <definedName name="QN">'[11]Danh sach Hàn thùng'!$I:$I</definedName>
    <definedName name="QPLE" hidden="1">[8]CAUDIT!#REF!</definedName>
    <definedName name="RCArea" hidden="1">#REF!</definedName>
    <definedName name="_xlnm.Recorder" hidden="1">#REF!</definedName>
    <definedName name="RET" hidden="1">[8]CAUDIT!#REF!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rdf" hidden="1">{#N/A,#N/A,FALSE,"기초2"}</definedName>
    <definedName name="RRR" hidden="1">{#N/A,#N/A,FALSE,"사업"}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" hidden="1">{"'Sheet1'!$L$16"}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n">#REF!</definedName>
    <definedName name="scsfwafw" localSheetId="4" hidden="1">{"'Sheet1'!$L$16"}</definedName>
    <definedName name="scsfwafw" hidden="1">{"'Sheet1'!$L$16"}</definedName>
    <definedName name="sdasd">'[11]Danh sach Hàn thùng'!#REF!</definedName>
    <definedName name="SDFSD" hidden="1">{"'Sheet1'!$L$16"}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lg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pecialPrice" hidden="1">#REF!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SS" hidden="1">{#N/A,#N/A,FALSE,"강교";#N/A,#N/A,FALSE,"한전";#N/A,#N/A,FALSE,"중방";#N/A,#N/A,FALSE,"회소"}</definedName>
    <definedName name="StartValue">-0.00506271473511073</definedName>
    <definedName name="StepValue">0.000315629990474312</definedName>
    <definedName name="t">#REF!</definedName>
    <definedName name="tam">{"Book1","BoQ2.XLS"}</definedName>
    <definedName name="TaxTV">10%</definedName>
    <definedName name="TaxXL">5%</definedName>
    <definedName name="tbl_ProdInfo" hidden="1">#REF!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">'[3]DG  286'!$A$300:$G$311</definedName>
    <definedName name="TDTram">'[3]DG  286'!$A$281:$G$285</definedName>
    <definedName name="tenck">#REF!</definedName>
    <definedName name="TextRefCopyRangeCount" hidden="1">5</definedName>
    <definedName name="TH">'[11]Danh sach Hàn thùng'!#REF!</definedName>
    <definedName name="tha" hidden="1">{"'Sheet1'!$L$16"}</definedName>
    <definedName name="thang">#REF!</definedName>
    <definedName name="Thang10" hidden="1">{"'Sheet1'!$L$16"}</definedName>
    <definedName name="thanh" hidden="1">{"'Sheet1'!$L$16"}</definedName>
    <definedName name="thanhtien">#REF!</definedName>
    <definedName name="thepban">#REF!</definedName>
    <definedName name="Thepson">12500</definedName>
    <definedName name="thetichck">#REF!</definedName>
    <definedName name="THNG" hidden="1">{"'Sheet1'!$L$16"}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uû" hidden="1">{"'Sheet1'!$L$16"}</definedName>
    <definedName name="TKNK" hidden="1">{#N/A,#N/A,FALSE,"기초1"}</definedName>
    <definedName name="TM">#N/A</definedName>
    <definedName name="TNAptomat">'[3]DG 85'!$A$106:$G$135</definedName>
    <definedName name="tongbt">#REF!</definedName>
    <definedName name="tongcong">#REF!</definedName>
    <definedName name="tongdientich">#REF!</definedName>
    <definedName name="tongthep">#REF!</definedName>
    <definedName name="tongthetich">#REF!</definedName>
    <definedName name="TT" hidden="1">{"'Sheet1'!$L$16"}</definedName>
    <definedName name="ttt" hidden="1">{#N/A,#N/A,FALSE,"단축1";#N/A,#N/A,FALSE,"단축2";#N/A,#N/A,FALSE,"단축3";#N/A,#N/A,FALSE,"장축";#N/A,#N/A,FALSE,"4WD"}</definedName>
    <definedName name="TYYYYY" hidden="1">{#N/A,#N/A,FALSE,"단축1";#N/A,#N/A,FALSE,"단축2";#N/A,#N/A,FALSE,"단축3";#N/A,#N/A,FALSE,"장축";#N/A,#N/A,FALSE,"4WD"}</definedName>
    <definedName name="u">#REF!</definedName>
    <definedName name="ừgreghr" localSheetId="4" hidden="1">{"'Sheet1'!$L$16"}</definedName>
    <definedName name="ừgreghr" hidden="1">{"'Sheet1'!$L$16"}</definedName>
    <definedName name="USD">15820</definedName>
    <definedName name="UYL" hidden="1">{#N/A,#N/A,FALSE,"단축1";#N/A,#N/A,FALSE,"단축2";#N/A,#N/A,FALSE,"단축3";#N/A,#N/A,FALSE,"장축";#N/A,#N/A,FALSE,"4WD"}</definedName>
    <definedName name="vtp" hidden="1">{"'Sheet1'!$L$16"}</definedName>
    <definedName name="w">#REF!</definedName>
    <definedName name="WHRL" hidden="1">{#N/A,#N/A,FALSE,"단축1";#N/A,#N/A,FALSE,"단축2";#N/A,#N/A,FALSE,"단축3";#N/A,#N/A,FALSE,"장축";#N/A,#N/A,FALSE,"4WD"}</definedName>
    <definedName name="Width">2</definedName>
    <definedName name="wrn" hidden="1">{#N/A,#N/A,FALSE,"단축1";#N/A,#N/A,FALSE,"단축2";#N/A,#N/A,FALSE,"단축3";#N/A,#N/A,FALSE,"장축";#N/A,#N/A,FALSE,"4WD"}</definedName>
    <definedName name="wrn.chi._.tiÆt.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x">#REF!</definedName>
    <definedName name="x1_">#REF!</definedName>
    <definedName name="x2_">#REF!</definedName>
    <definedName name="XÁ" hidden="1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up140">'[3]DG 285'!$B$249</definedName>
    <definedName name="XDup230">'[3]DG 285'!$B$250</definedName>
    <definedName name="XDup320">'[3]DG 285'!$B$251</definedName>
    <definedName name="XDup410">'[3]DG 285'!$B$252</definedName>
    <definedName name="XII140">'[3]DG 285'!$B$254</definedName>
    <definedName name="XII230">'[3]DG 285'!$B$255</definedName>
    <definedName name="XII320">'[3]DG 285'!$B$256</definedName>
    <definedName name="XII410">'[3]DG 285'!$B$257</definedName>
    <definedName name="XNeo100">'[3]DG 285'!$B$243</definedName>
    <definedName name="XNeo140">'[3]DG 285'!$B$244</definedName>
    <definedName name="XNeo230">'[3]DG 285'!$B$245</definedName>
    <definedName name="XNeo25">'[3]DG 285'!$B$241</definedName>
    <definedName name="XNeo320">'[3]DG 285'!$B$246</definedName>
    <definedName name="XNeo410">'[3]DG 285'!$B$247</definedName>
    <definedName name="XNeo50">'[3]DG 285'!$B$242</definedName>
    <definedName name="XRefColumnsCount" hidden="1">2</definedName>
    <definedName name="XRefCopyRangeCount" hidden="1">1</definedName>
    <definedName name="XRefPasteRangeCount" hidden="1">1</definedName>
    <definedName name="XXXXX" hidden="1">{#N/A,#N/A,FALSE,"단축1";#N/A,#N/A,FALSE,"단축2";#N/A,#N/A,FALSE,"단축3";#N/A,#N/A,FALSE,"장축";#N/A,#N/A,FALSE,"4WD"}</definedName>
    <definedName name="YYHY" hidden="1">{#N/A,#N/A,FALSE,"단축1";#N/A,#N/A,FALSE,"단축2";#N/A,#N/A,FALSE,"단축3";#N/A,#N/A,FALSE,"장축";#N/A,#N/A,FALSE,"4WD"}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ㄴ" hidden="1">{#N/A,#N/A,FALSE,"기초2"}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단위">1000</definedName>
    <definedName name="도어" hidden="1">[12]CAUDIT!#REF!</definedName>
    <definedName name="도어1" hidden="1">[12]CAUDIT!#REF!</definedName>
    <definedName name="도장사양기술" hidden="1">{#N/A,#N/A,FALSE,"강교";#N/A,#N/A,FALSE,"한전";#N/A,#N/A,FALSE,"중방";#N/A,#N/A,FALSE,"회소"}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랑해" hidden="1">[7]CAUDIT!#REF!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">#N/A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무영" hidden="1">[7]CAUDIT!#REF!</definedName>
    <definedName name="문서처리" hidden="1">{#N/A,#N/A,FALSE,"단축1";#N/A,#N/A,FALSE,"단축2";#N/A,#N/A,FALSE,"단축3";#N/A,#N/A,FALSE,"장축";#N/A,#N/A,FALSE,"4WD"}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ㅂ" hidden="1">{#N/A,#N/A,FALSE,"단축1";#N/A,#N/A,FALSE,"단축2";#N/A,#N/A,FALSE,"단축3";#N/A,#N/A,FALSE,"장축";#N/A,#N/A,FALSE,"4WD"}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벨트" hidden="1">[8]CAUDIT!#REF!</definedName>
    <definedName name="보고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업" hidden="1">{#N/A,#N/A,FALSE,"사업"}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왕123" hidden="1">{#N/A,#N/A,FALSE,"단축1";#N/A,#N/A,FALSE,"단축2";#N/A,#N/A,FALSE,"단축3";#N/A,#N/A,FALSE,"장축";#N/A,#N/A,FALSE,"4WD"}</definedName>
    <definedName name="수고" hidden="1">{#N/A,#N/A,FALSE,"기초2"}</definedName>
    <definedName name="수통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연료펌프" hidden="1">[13]CAUDIT!#REF!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">1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첨" hidden="1">[14]CAUDIT!#REF!</definedName>
    <definedName name="이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ㅈ" hidden="1">[13]CAUDIT!#REF!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전장DOM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조" hidden="1">{#N/A,#N/A,FALSE,"사업"}</definedName>
    <definedName name="주해" hidden="1">[7]CAUDIT!#REF!</definedName>
    <definedName name="중복.13">"?A*"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출의사보유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[7]CAUDIT!#REF!</definedName>
    <definedName name="ㅌㅊ" hidden="1">{#N/A,#N/A,FALSE,"단축1";#N/A,#N/A,FALSE,"단축2";#N/A,#N/A,FALSE,"단축3";#N/A,#N/A,FALSE,"장축";#N/A,#N/A,FALSE,"4WD"}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[7]CAUDIT!#REF!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프런toal" hidden="1">#REF!</definedName>
    <definedName name="하남" hidden="1">{#N/A,#N/A,FALSE,"기초1"}</definedName>
    <definedName name="학이" hidden="1">{#N/A,#N/A,FALSE,"기초1";#N/A,#N/A,FALSE,"기초2"}</definedName>
    <definedName name="ㅏㅏㅏ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6" i="2" l="1"/>
  <c r="AQ36" i="2"/>
  <c r="L36" i="2"/>
  <c r="M36" i="2" s="1"/>
  <c r="K36" i="2"/>
  <c r="AR35" i="2"/>
  <c r="AQ35" i="2"/>
  <c r="N35" i="2"/>
  <c r="L35" i="2"/>
  <c r="M35" i="2" s="1"/>
  <c r="K35" i="2"/>
  <c r="AR34" i="2"/>
  <c r="AQ34" i="2"/>
  <c r="N34" i="2"/>
  <c r="M34" i="2"/>
  <c r="L34" i="2"/>
  <c r="K34" i="2"/>
  <c r="AR33" i="2"/>
  <c r="AQ33" i="2"/>
  <c r="L33" i="2"/>
  <c r="N33" i="2" s="1"/>
  <c r="K33" i="2"/>
  <c r="AR32" i="2"/>
  <c r="AQ32" i="2"/>
  <c r="L32" i="2"/>
  <c r="N32" i="2" s="1"/>
  <c r="K32" i="2"/>
  <c r="AR31" i="2"/>
  <c r="AQ31" i="2"/>
  <c r="L31" i="2"/>
  <c r="M31" i="2" s="1"/>
  <c r="K31" i="2"/>
  <c r="N31" i="2" s="1"/>
  <c r="AR30" i="2"/>
  <c r="AQ30" i="2"/>
  <c r="L30" i="2"/>
  <c r="N30" i="2" s="1"/>
  <c r="K30" i="2"/>
  <c r="AR29" i="2"/>
  <c r="AQ29" i="2"/>
  <c r="L29" i="2"/>
  <c r="N29" i="2" s="1"/>
  <c r="K29" i="2"/>
  <c r="AR28" i="2"/>
  <c r="AQ28" i="2"/>
  <c r="L28" i="2"/>
  <c r="M28" i="2" s="1"/>
  <c r="K28" i="2"/>
  <c r="AR27" i="2"/>
  <c r="AQ27" i="2"/>
  <c r="N27" i="2"/>
  <c r="L27" i="2"/>
  <c r="M27" i="2" s="1"/>
  <c r="K27" i="2"/>
  <c r="AR26" i="2"/>
  <c r="AQ26" i="2"/>
  <c r="N26" i="2"/>
  <c r="M26" i="2"/>
  <c r="L26" i="2"/>
  <c r="K26" i="2"/>
  <c r="AR25" i="2"/>
  <c r="AQ25" i="2"/>
  <c r="L25" i="2"/>
  <c r="N25" i="2" s="1"/>
  <c r="K25" i="2"/>
  <c r="AR24" i="2"/>
  <c r="AQ24" i="2"/>
  <c r="L24" i="2"/>
  <c r="N24" i="2" s="1"/>
  <c r="K24" i="2"/>
  <c r="AR23" i="2"/>
  <c r="AQ23" i="2"/>
  <c r="L23" i="2"/>
  <c r="M23" i="2" s="1"/>
  <c r="K23" i="2"/>
  <c r="N23" i="2" s="1"/>
  <c r="AR22" i="2"/>
  <c r="AQ22" i="2"/>
  <c r="L22" i="2"/>
  <c r="M22" i="2" s="1"/>
  <c r="K22" i="2"/>
  <c r="L8" i="2"/>
  <c r="L9" i="2"/>
  <c r="L10" i="2"/>
  <c r="M10" i="2" s="1"/>
  <c r="L11" i="2"/>
  <c r="N11" i="2" s="1"/>
  <c r="L12" i="2"/>
  <c r="N12" i="2" s="1"/>
  <c r="L13" i="2"/>
  <c r="N13" i="2" s="1"/>
  <c r="L14" i="2"/>
  <c r="M14" i="2" s="1"/>
  <c r="L15" i="2"/>
  <c r="L16" i="2"/>
  <c r="L17" i="2"/>
  <c r="N17" i="2" s="1"/>
  <c r="L18" i="2"/>
  <c r="N18" i="2" s="1"/>
  <c r="L19" i="2"/>
  <c r="N19" i="2" s="1"/>
  <c r="L20" i="2"/>
  <c r="N20" i="2" s="1"/>
  <c r="L21" i="2"/>
  <c r="N21" i="2" s="1"/>
  <c r="N9" i="2"/>
  <c r="N7" i="2"/>
  <c r="M7" i="2"/>
  <c r="M8" i="2"/>
  <c r="M9" i="2"/>
  <c r="L7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AR15" i="2"/>
  <c r="AQ15" i="2"/>
  <c r="M29" i="2" l="1"/>
  <c r="M24" i="2"/>
  <c r="M32" i="2"/>
  <c r="N10" i="2"/>
  <c r="N22" i="2"/>
  <c r="M25" i="2"/>
  <c r="M33" i="2"/>
  <c r="N28" i="2"/>
  <c r="N36" i="2"/>
  <c r="N16" i="2"/>
  <c r="N15" i="2"/>
  <c r="M30" i="2"/>
  <c r="M13" i="2"/>
  <c r="N14" i="2"/>
  <c r="M12" i="2"/>
  <c r="M15" i="2"/>
  <c r="M11" i="2"/>
  <c r="AQ7" i="2"/>
  <c r="AR7" i="2"/>
  <c r="AQ8" i="2"/>
  <c r="AR8" i="2"/>
  <c r="AQ9" i="2"/>
  <c r="AR9" i="2"/>
  <c r="AQ10" i="2"/>
  <c r="AR10" i="2"/>
  <c r="AQ11" i="2"/>
  <c r="AR11" i="2"/>
  <c r="AQ12" i="2"/>
  <c r="AR12" i="2"/>
  <c r="AQ13" i="2"/>
  <c r="AR13" i="2"/>
  <c r="AQ14" i="2"/>
  <c r="AR14" i="2"/>
  <c r="AQ16" i="2"/>
  <c r="AR16" i="2"/>
  <c r="AQ17" i="2"/>
  <c r="AR17" i="2"/>
  <c r="AQ18" i="2"/>
  <c r="AR18" i="2"/>
  <c r="AQ19" i="2"/>
  <c r="AR19" i="2"/>
  <c r="AQ20" i="2"/>
  <c r="AR20" i="2"/>
  <c r="AQ21" i="2"/>
  <c r="AR21" i="2"/>
  <c r="A5" i="4" l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M21" i="2" l="1"/>
  <c r="M19" i="2"/>
  <c r="M16" i="2"/>
  <c r="M18" i="2"/>
  <c r="N8" i="2"/>
  <c r="N37" i="2" s="1"/>
  <c r="M20" i="2"/>
  <c r="M17" i="2"/>
  <c r="O20" i="47" l="1"/>
  <c r="S14" i="47" l="1"/>
  <c r="A37" i="47" l="1"/>
  <c r="A38" i="47" s="1"/>
  <c r="A39" i="47" s="1"/>
  <c r="A40" i="47" s="1"/>
  <c r="A41" i="47" s="1"/>
  <c r="A42" i="47" s="1"/>
  <c r="A43" i="47" s="1"/>
  <c r="A44" i="47" s="1"/>
  <c r="A45" i="47" s="1"/>
  <c r="A28" i="47"/>
  <c r="A29" i="47" s="1"/>
  <c r="A23" i="47"/>
  <c r="A24" i="47" s="1"/>
  <c r="A25" i="47" s="1"/>
  <c r="A5" i="47"/>
  <c r="A6" i="47" s="1"/>
  <c r="A7" i="47" s="1"/>
  <c r="A8" i="47" s="1"/>
  <c r="A9" i="47" s="1"/>
  <c r="A18" i="47" l="1"/>
  <c r="A19" i="47" s="1"/>
  <c r="A20" i="47" s="1"/>
  <c r="A10" i="47"/>
  <c r="A14" i="47" s="1"/>
  <c r="A32" i="47"/>
  <c r="A33" i="47" s="1"/>
  <c r="A34" i="47" s="1"/>
  <c r="A11" i="47" l="1"/>
  <c r="A13" i="47"/>
  <c r="A15" i="47" l="1"/>
  <c r="A12" i="47"/>
  <c r="D28" i="36"/>
  <c r="A14" i="36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D11" i="36"/>
  <c r="A7" i="36"/>
  <c r="A8" i="36" s="1"/>
  <c r="A9" i="36" s="1"/>
  <c r="A10" i="36" s="1"/>
  <c r="C17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Xuan Nghia</author>
  </authors>
  <commentList>
    <comment ref="B2" authorId="0" shapeId="0" xr:uid="{00000000-0006-0000-0100-000001000000}">
      <text>
        <r>
          <rPr>
            <b/>
            <sz val="16"/>
            <color indexed="81"/>
            <rFont val="Times New Roman"/>
            <family val="1"/>
          </rPr>
          <t>Nguyen Xuan Nghia:</t>
        </r>
        <r>
          <rPr>
            <sz val="16"/>
            <color indexed="81"/>
            <rFont val="Times New Roman"/>
            <family val="1"/>
          </rPr>
          <t xml:space="preserve">
</t>
        </r>
        <r>
          <rPr>
            <b/>
            <sz val="16"/>
            <color indexed="10"/>
            <rFont val="Times New Roman"/>
            <family val="1"/>
          </rPr>
          <t>NHẬP MAC VẬT LIỆU VÀ TỶ TRỌNG VÀO NẾU PHÁT SINH MAC VẬT LIỆU NGOÀI BẢNG NÀY</t>
        </r>
      </text>
    </comment>
    <comment ref="B3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Nguyen Xuan Nghia: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3"/>
            <color indexed="81"/>
            <rFont val="Tahoma"/>
            <family val="2"/>
          </rPr>
          <t>Vonfram</t>
        </r>
      </text>
    </comment>
    <comment ref="B3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Nguyen Xuan Nghia: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3"/>
            <color indexed="81"/>
            <rFont val="Tahoma"/>
            <family val="2"/>
          </rPr>
          <t>VÀNG</t>
        </r>
      </text>
    </comment>
    <comment ref="B3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Nguyen Xuan Nghia: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3"/>
            <color indexed="81"/>
            <rFont val="Tahoma"/>
            <family val="2"/>
          </rPr>
          <t>CHÌ</t>
        </r>
      </text>
    </comment>
    <comment ref="B3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Nguyen Xuan Nghia: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3"/>
            <color indexed="81"/>
            <rFont val="Tahoma"/>
            <family val="2"/>
          </rPr>
          <t>KẼM</t>
        </r>
      </text>
    </comment>
    <comment ref="B4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Nguyen Xuan Nghia: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3"/>
            <color indexed="81"/>
            <rFont val="Tahoma"/>
            <family val="2"/>
          </rPr>
          <t>Thủy ngân</t>
        </r>
      </text>
    </comment>
  </commentList>
</comments>
</file>

<file path=xl/sharedStrings.xml><?xml version="1.0" encoding="utf-8"?>
<sst xmlns="http://schemas.openxmlformats.org/spreadsheetml/2006/main" count="357" uniqueCount="292">
  <si>
    <t>STT</t>
  </si>
  <si>
    <t>Tên chi tiết</t>
  </si>
  <si>
    <t>Vật liệu</t>
  </si>
  <si>
    <t>Dài</t>
  </si>
  <si>
    <t>Rộng</t>
  </si>
  <si>
    <t>Dày</t>
  </si>
  <si>
    <t>NMT</t>
  </si>
  <si>
    <t>Tổng cộng</t>
  </si>
  <si>
    <t>L65x65</t>
  </si>
  <si>
    <t>L75x75</t>
  </si>
  <si>
    <t>CÔNG THỨC TÍNH KHỐI LƯỢNG,
DIỆN TÍCH XUNG QUANH</t>
  </si>
  <si>
    <t>Quy cách vật tư</t>
  </si>
  <si>
    <t>Quy cách</t>
  </si>
  <si>
    <t>dày</t>
  </si>
  <si>
    <t>H900x300</t>
  </si>
  <si>
    <t>28/16</t>
  </si>
  <si>
    <t>H600x300</t>
  </si>
  <si>
    <t>20/12</t>
  </si>
  <si>
    <t>H500x200</t>
  </si>
  <si>
    <t>16/10</t>
  </si>
  <si>
    <t>H300x150</t>
  </si>
  <si>
    <t>9/6.5</t>
  </si>
  <si>
    <t>H250x125</t>
  </si>
  <si>
    <t>9/6</t>
  </si>
  <si>
    <t>H200x200</t>
  </si>
  <si>
    <t>12/08</t>
  </si>
  <si>
    <t>H125x125</t>
  </si>
  <si>
    <t>H100x100</t>
  </si>
  <si>
    <t>8/6</t>
  </si>
  <si>
    <t>C200x90</t>
  </si>
  <si>
    <t>C200x80</t>
  </si>
  <si>
    <t>C150x75</t>
  </si>
  <si>
    <t>L125x75</t>
  </si>
  <si>
    <t>L100x100</t>
  </si>
  <si>
    <t>L90x90</t>
  </si>
  <si>
    <t>L40x40</t>
  </si>
  <si>
    <t>SQ400x200</t>
  </si>
  <si>
    <t>SQ250x150</t>
  </si>
  <si>
    <t>SQ200x200</t>
  </si>
  <si>
    <t>SQ100x100</t>
  </si>
  <si>
    <t>S
M/C ngang</t>
  </si>
  <si>
    <t>I125x75</t>
  </si>
  <si>
    <t>C75x40</t>
  </si>
  <si>
    <t>…</t>
  </si>
  <si>
    <t>Cái</t>
  </si>
  <si>
    <t>Máy tiện tự động CNC</t>
  </si>
  <si>
    <t>ATM-C1303-331</t>
  </si>
  <si>
    <t>Máy phay Makino CNC</t>
  </si>
  <si>
    <t>ATM-C1303-332</t>
  </si>
  <si>
    <t>Máy phay khoan Fanuc CNC</t>
  </si>
  <si>
    <t>May tiện Wasino OT CNC</t>
  </si>
  <si>
    <t>ATM-C1303-370</t>
  </si>
  <si>
    <t>May tiện Wasino 21T CNC</t>
  </si>
  <si>
    <t>ATM-C1303-729</t>
  </si>
  <si>
    <t>Máy tiện CNC Moriseiki</t>
  </si>
  <si>
    <t>ATM-C1303-781</t>
  </si>
  <si>
    <t>ATM-C1303-812</t>
  </si>
  <si>
    <t>Máy tiện CNC Ikegai</t>
  </si>
  <si>
    <t>ATM-C1303-950</t>
  </si>
  <si>
    <t>ATM-C1303A-1240</t>
  </si>
  <si>
    <t>Máy phay kim loại CNC -Model TR-60A</t>
  </si>
  <si>
    <t>ATM-C1303A-1241</t>
  </si>
  <si>
    <t>Máy tiện kim loại CNC -Model CPL-106</t>
  </si>
  <si>
    <t>ATM-C1303A-1242</t>
  </si>
  <si>
    <t>ATM-C1303A-1303</t>
  </si>
  <si>
    <t>Máy tiện kim loại CNC Model CPL-3512</t>
  </si>
  <si>
    <t>ATM-C1303A-1306</t>
  </si>
  <si>
    <t>Máy tiện kim loại CNC Model CPL-106</t>
  </si>
  <si>
    <t>ATM-C1303A-1307</t>
  </si>
  <si>
    <t>ATM-C1303A-1335</t>
  </si>
  <si>
    <t>Máy tiện ngang kim loại CNC Model CPL-30 MC</t>
  </si>
  <si>
    <t>ATM-C1303A-1402</t>
  </si>
  <si>
    <t>Máy phay kim loại CNC Model TR-60A</t>
  </si>
  <si>
    <t>ATM-C1303A-1403</t>
  </si>
  <si>
    <t>Lít</t>
  </si>
  <si>
    <t>Kg</t>
  </si>
  <si>
    <t>ĐVT</t>
  </si>
  <si>
    <t>SQ40x40</t>
  </si>
  <si>
    <t>SQ30x30</t>
  </si>
  <si>
    <t>L50x40</t>
  </si>
  <si>
    <t>SQ60x40</t>
  </si>
  <si>
    <t>C160x65</t>
  </si>
  <si>
    <t>C140x60</t>
  </si>
  <si>
    <t>Mạ</t>
  </si>
  <si>
    <t>ED</t>
  </si>
  <si>
    <t>ĐỊNH MỨC VẬT TƯ PHỤ XƯỞNG ĐỒ GÁ</t>
  </si>
  <si>
    <t>TÊN VẬT TƯ PHỤ</t>
  </si>
  <si>
    <t>Hệ số trung bình/ giờ</t>
  </si>
  <si>
    <t xml:space="preserve">Mũi dao phay SEKN 1203 AFTN-HPN TT7080 </t>
  </si>
  <si>
    <t>Mũi</t>
  </si>
  <si>
    <t>Mũi dao tiện ngoài 80 độ
(WNMG080408MD-4T 750)</t>
  </si>
  <si>
    <t>EXMT090408E 4T750</t>
  </si>
  <si>
    <t>Mũi dao vát mép PLY-000282 SEMT13</t>
  </si>
  <si>
    <t>Mũi dao vát mép PLY-000395 LPEX 19 206900</t>
  </si>
  <si>
    <t>Mũi dao doa (màu nâu đỏ) TPMT11024-PST9115</t>
  </si>
  <si>
    <t>Mũi dao tiện 55 độ
DCMT11T308E-4T A04030 ( đức)</t>
  </si>
  <si>
    <t>Mũi dao tiện lỗ DCGT11T302E-4TA04030</t>
  </si>
  <si>
    <t>Hệ số trung bình mũi dao</t>
  </si>
  <si>
    <t>Dầu Diezel</t>
  </si>
  <si>
    <t>Đá cắt phi 100</t>
  </si>
  <si>
    <t>Viên</t>
  </si>
  <si>
    <t>Dây hàn Mig 1.0 ( 15kg/cuộn)</t>
  </si>
  <si>
    <t>Nhám xếp King Dom</t>
  </si>
  <si>
    <t>Cọ sơn 10 phân</t>
  </si>
  <si>
    <t>Cây</t>
  </si>
  <si>
    <t>Chổi đót</t>
  </si>
  <si>
    <t>Vải lau</t>
  </si>
  <si>
    <t>Khóa việt tiệp 38</t>
  </si>
  <si>
    <t>Ổ</t>
  </si>
  <si>
    <t>Kính chống bụi</t>
  </si>
  <si>
    <t>Khẩu trang 3M</t>
  </si>
  <si>
    <r>
      <rPr>
        <u/>
        <sz val="13"/>
        <rFont val="Times New Roman"/>
        <family val="1"/>
      </rPr>
      <t>Ghi chú:</t>
    </r>
    <r>
      <rPr>
        <sz val="13"/>
        <rFont val="Times New Roman"/>
        <family val="1"/>
      </rPr>
      <t xml:space="preserve"> - Lấy thời gian gia công chi tiết quy đổi về mũi dao và vật tư phụ.</t>
    </r>
  </si>
  <si>
    <t>Tên máy</t>
  </si>
  <si>
    <t>I</t>
  </si>
  <si>
    <t>ĐỊNH MỨC VẬT TƯ DAO CỤ XƯỞNG CNC</t>
  </si>
  <si>
    <t>MSTS</t>
  </si>
  <si>
    <r>
      <t>Mũi dao</t>
    </r>
    <r>
      <rPr>
        <b/>
        <vertAlign val="subscript"/>
        <sz val="13"/>
        <rFont val="Times New Roman"/>
        <family val="1"/>
      </rPr>
      <t>tb</t>
    </r>
    <r>
      <rPr>
        <b/>
        <sz val="13"/>
        <rFont val="Times New Roman"/>
        <family val="1"/>
      </rPr>
      <t>/giờ</t>
    </r>
  </si>
  <si>
    <t>Phay CNC</t>
  </si>
  <si>
    <t>Trung bình mũi dao phay CNC</t>
  </si>
  <si>
    <t>Tiện CNC</t>
  </si>
  <si>
    <t>ATM-C1301-290</t>
  </si>
  <si>
    <t xml:space="preserve"> ATM-C1303-369</t>
  </si>
  <si>
    <t>MÁY MỚI 01</t>
  </si>
  <si>
    <t>MÁY MỚI 02</t>
  </si>
  <si>
    <t>Trung bình mũi dao tiện CNC</t>
  </si>
  <si>
    <r>
      <rPr>
        <u/>
        <sz val="13"/>
        <rFont val="Times New Roman"/>
        <family val="1"/>
      </rPr>
      <t>Ghi chú:</t>
    </r>
    <r>
      <rPr>
        <sz val="13"/>
        <rFont val="Times New Roman"/>
        <family val="1"/>
      </rPr>
      <t xml:space="preserve"> - Lấy thời gian gia công chi tiết quy đổi về mũi dao.</t>
    </r>
  </si>
  <si>
    <t>II</t>
  </si>
  <si>
    <t>III</t>
  </si>
  <si>
    <t>IV</t>
  </si>
  <si>
    <t>Chu vi
xung quanh ID</t>
  </si>
  <si>
    <t>Chu vi
xung quanh OD</t>
  </si>
  <si>
    <t>VẬT LIỆU</t>
  </si>
  <si>
    <t>KHỐI LƯỢNG RIÊNG VẬT LIỆU</t>
  </si>
  <si>
    <t>SPHC</t>
  </si>
  <si>
    <t>SPCC</t>
  </si>
  <si>
    <t>C45</t>
  </si>
  <si>
    <t>THÉP</t>
  </si>
  <si>
    <t>INOX</t>
  </si>
  <si>
    <t>NHỰA</t>
  </si>
  <si>
    <t>NHÔM</t>
  </si>
  <si>
    <t>AL6061</t>
  </si>
  <si>
    <t>ĐỒNG</t>
  </si>
  <si>
    <t>CU</t>
  </si>
  <si>
    <t>V</t>
  </si>
  <si>
    <t>VI</t>
  </si>
  <si>
    <r>
      <t>KL RIÊNG
(kg/dm</t>
    </r>
    <r>
      <rPr>
        <b/>
        <vertAlign val="superscript"/>
        <sz val="13"/>
        <color theme="1"/>
        <rFont val="Times New Roman"/>
        <family val="1"/>
      </rPr>
      <t>3</t>
    </r>
    <r>
      <rPr>
        <b/>
        <sz val="13"/>
        <color theme="1"/>
        <rFont val="Times New Roman"/>
        <family val="1"/>
      </rPr>
      <t>)</t>
    </r>
  </si>
  <si>
    <t>W</t>
  </si>
  <si>
    <t>Ag</t>
  </si>
  <si>
    <t>Pb</t>
  </si>
  <si>
    <t>Zn</t>
  </si>
  <si>
    <t>Gang trắng</t>
  </si>
  <si>
    <t>Gang xám</t>
  </si>
  <si>
    <t>Hg</t>
  </si>
  <si>
    <t>VL KHÁC</t>
  </si>
  <si>
    <t>SKD11</t>
  </si>
  <si>
    <t>SKD61</t>
  </si>
  <si>
    <t>SUS304</t>
  </si>
  <si>
    <t>MC</t>
  </si>
  <si>
    <t>PA</t>
  </si>
  <si>
    <t>AL</t>
  </si>
  <si>
    <t>SS400</t>
  </si>
  <si>
    <t>CT380</t>
  </si>
  <si>
    <t>Vấn đề chung</t>
  </si>
  <si>
    <t>V50x50</t>
  </si>
  <si>
    <t>U100x50</t>
  </si>
  <si>
    <t>U150x75</t>
  </si>
  <si>
    <t>U120x53</t>
  </si>
  <si>
    <t>U160x65</t>
  </si>
  <si>
    <t>U200x90</t>
  </si>
  <si>
    <t>U200x80</t>
  </si>
  <si>
    <t>SQ75x75</t>
  </si>
  <si>
    <t>SQ150x150</t>
  </si>
  <si>
    <t>H150x150</t>
  </si>
  <si>
    <t>6x8</t>
  </si>
  <si>
    <t>H200x100</t>
  </si>
  <si>
    <t>5.5x8</t>
  </si>
  <si>
    <t>SQ40x20</t>
  </si>
  <si>
    <t>SQ60x30</t>
  </si>
  <si>
    <t>V40x40</t>
  </si>
  <si>
    <t>SQ50x50</t>
  </si>
  <si>
    <t>SQ40x25</t>
  </si>
  <si>
    <t>L30x30</t>
  </si>
  <si>
    <t>L60x60</t>
  </si>
  <si>
    <t>U50x25</t>
  </si>
  <si>
    <t>L50x50</t>
  </si>
  <si>
    <t>5/7.5</t>
  </si>
  <si>
    <t>C40x25</t>
  </si>
  <si>
    <t>I150x75</t>
  </si>
  <si>
    <t>5.5/9.5</t>
  </si>
  <si>
    <t>I250x125</t>
  </si>
  <si>
    <t>7.5/12.5</t>
  </si>
  <si>
    <t>L130x130</t>
  </si>
  <si>
    <t>L25x25</t>
  </si>
  <si>
    <t>SQ80x80</t>
  </si>
  <si>
    <t>SQ75x45</t>
  </si>
  <si>
    <t>SQ60x60</t>
  </si>
  <si>
    <t>SQ40x50</t>
  </si>
  <si>
    <t>SQ40x40x2.3</t>
  </si>
  <si>
    <t>SQ40x40x3.2</t>
  </si>
  <si>
    <t>SQ50x50x2.3</t>
  </si>
  <si>
    <t>SQ50x50x3.2</t>
  </si>
  <si>
    <t>7/10</t>
  </si>
  <si>
    <t>H400x200</t>
  </si>
  <si>
    <t>8/13</t>
  </si>
  <si>
    <t>L200x200</t>
  </si>
  <si>
    <t>H600x200</t>
  </si>
  <si>
    <t>11/17</t>
  </si>
  <si>
    <t>H300x300</t>
  </si>
  <si>
    <t>10/15</t>
  </si>
  <si>
    <t>H250x250</t>
  </si>
  <si>
    <t>9/14</t>
  </si>
  <si>
    <t>L150x150</t>
  </si>
  <si>
    <t>C250x90</t>
  </si>
  <si>
    <t>9/13</t>
  </si>
  <si>
    <t>C250x75x25</t>
  </si>
  <si>
    <t>NMK</t>
  </si>
  <si>
    <t>X. Lắp Ráp</t>
  </si>
  <si>
    <t>U80x40</t>
  </si>
  <si>
    <t>Quy cách phụ</t>
  </si>
  <si>
    <t>THCK</t>
  </si>
  <si>
    <t>Q345</t>
  </si>
  <si>
    <t>Hàn TBCN</t>
  </si>
  <si>
    <t>Hàn CKXD</t>
  </si>
  <si>
    <t>Các bộ phận triển khai ĐMVT giữ nguyên mẫu</t>
  </si>
  <si>
    <t>Số thứ tự theo ĐMVT tổng</t>
  </si>
  <si>
    <t>Đặt NMT</t>
  </si>
  <si>
    <t>Đặt NMK</t>
  </si>
  <si>
    <t>X. SƠN</t>
  </si>
  <si>
    <t>Màu sơn/ Mã màu sơn</t>
  </si>
  <si>
    <t>Mạ kẽm</t>
  </si>
  <si>
    <t>Inox</t>
  </si>
  <si>
    <t>Lốc/Uốn CKXD</t>
  </si>
  <si>
    <t>Quy cách chi tiết (mm)</t>
  </si>
  <si>
    <t>SL/Bộ</t>
  </si>
  <si>
    <t>SL/ĐH</t>
  </si>
  <si>
    <t>KL/ct
(Kg)</t>
  </si>
  <si>
    <t>KL/Bộ
(Kg)</t>
  </si>
  <si>
    <t>Tổng
KL/ĐH
(Kg)</t>
  </si>
  <si>
    <t>Ghi chú</t>
  </si>
  <si>
    <t>Tôn màu trắng</t>
  </si>
  <si>
    <t>Thép vằn</t>
  </si>
  <si>
    <t>SUS316L</t>
  </si>
  <si>
    <t>SQ100x50</t>
  </si>
  <si>
    <t>Hàn LK Tải / Bus</t>
  </si>
  <si>
    <t>Hàn KX Ghế</t>
  </si>
  <si>
    <t>Hàn Ty ben</t>
  </si>
  <si>
    <t>Hàn Ống xả</t>
  </si>
  <si>
    <t>Hàn Thùng</t>
  </si>
  <si>
    <t>Hàn Chasis</t>
  </si>
  <si>
    <t>X. HÀN LK Cơ Khí Ô Tô</t>
  </si>
  <si>
    <t>Lắp ráp thùng</t>
  </si>
  <si>
    <t>C125x65</t>
  </si>
  <si>
    <t>C80x45</t>
  </si>
  <si>
    <t>L50x50x5</t>
  </si>
  <si>
    <t>SQ200x100</t>
  </si>
  <si>
    <t>L80x80</t>
  </si>
  <si>
    <t>U180x70</t>
  </si>
  <si>
    <t>SQ15x15</t>
  </si>
  <si>
    <t>SQ25x25x1.5</t>
  </si>
  <si>
    <t>SQ20x20</t>
  </si>
  <si>
    <t>C120x53</t>
  </si>
  <si>
    <t>C100x50</t>
  </si>
  <si>
    <t>SQ40x40x1.6</t>
  </si>
  <si>
    <t>V63x63</t>
  </si>
  <si>
    <t>V100x100</t>
  </si>
  <si>
    <t>U150x90</t>
  </si>
  <si>
    <t>SQ80x40</t>
  </si>
  <si>
    <t>U65x30</t>
  </si>
  <si>
    <t>V20x20</t>
  </si>
  <si>
    <t>H350x200</t>
  </si>
  <si>
    <t>8x12</t>
  </si>
  <si>
    <t>I200x100</t>
  </si>
  <si>
    <t>MSCT</t>
  </si>
  <si>
    <t xml:space="preserve">HẠNG MỤC/ĐƠN HÀNG SỐ: </t>
  </si>
  <si>
    <t>Dn</t>
  </si>
  <si>
    <t>Dt</t>
  </si>
  <si>
    <t xml:space="preserve">X. Hàn  </t>
  </si>
  <si>
    <t>X.Hàn Gia công Cơ khí</t>
  </si>
  <si>
    <t>Phun bi CKXD</t>
  </si>
  <si>
    <t>Sơn TĐ bột</t>
  </si>
  <si>
    <t>Sơn màu</t>
  </si>
  <si>
    <t>Lắp ráp TBCN (Sub)</t>
  </si>
  <si>
    <t>VCNB
THCK</t>
  </si>
  <si>
    <t>Kho giao hàng</t>
  </si>
  <si>
    <t>Đội lắp đặt</t>
  </si>
  <si>
    <t>Nguồn gốc/ Mua ngoài</t>
  </si>
  <si>
    <t>Khối lượng</t>
  </si>
  <si>
    <t>Tôn gân</t>
  </si>
  <si>
    <t>PU</t>
  </si>
  <si>
    <t>Diện tích sơn,ED (m²)</t>
  </si>
  <si>
    <t>Hàn kim loại màu</t>
  </si>
  <si>
    <t>BẢNG ĐỊNH MỨC GIA CÔNG JIG ĐỘT LỖ CẢN SAU XE AI3-NM LINH KIỆN NHỰA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</si>
</sst>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_-* #,##0_-;\-* #,##0_-;_-* &quot;-&quot;_-;_-@_-"/>
    <numFmt numFmtId="166" formatCode="_-* #,##0.00_-;\-* #,##0.00_-;_-* &quot;-&quot;??_-;_-@_-"/>
    <numFmt numFmtId="167" formatCode="0.0"/>
    <numFmt numFmtId="168" formatCode="_(* #,##0_);_(* \(#,##0\);_(* &quot;-&quot;??_);_(@_)"/>
    <numFmt numFmtId="169" formatCode="&quot;Ø&quot;#,##0;[Red]\(&quot;Ø&quot;#,##0\)"/>
    <numFmt numFmtId="170" formatCode="0.0000"/>
    <numFmt numFmtId="171" formatCode="_(* #,##0.0000_);_(* \(#,##0.0000\);_(* &quot;-&quot;??_);_(@_)"/>
    <numFmt numFmtId="172" formatCode="#,##0;[Red]&quot;-&quot;#,##0"/>
    <numFmt numFmtId="173" formatCode="_(* #,##0.00_);_(* \(#,##0.00\);_(* \-??_);_(@_)"/>
    <numFmt numFmtId="174" formatCode="0.000%"/>
    <numFmt numFmtId="175" formatCode="#,##0\ &quot;DM&quot;;\-#,##0\ &quot;DM&quot;"/>
    <numFmt numFmtId="176" formatCode="#,##0\ &quot;£&quot;_);[Red]\(#,##0\ &quot;£&quot;\)"/>
    <numFmt numFmtId="177" formatCode=";;"/>
    <numFmt numFmtId="178" formatCode=".00"/>
    <numFmt numFmtId="179" formatCode="#,##0&quot;%&quot;"/>
    <numFmt numFmtId="180" formatCode="&quot;\&quot;#,##0.00;[Red]&quot;\&quot;\-#,##0.00"/>
    <numFmt numFmtId="181" formatCode="#,##0.0&quot;%&quot;"/>
    <numFmt numFmtId="182" formatCode="&quot;?#,##0;\-&quot;&quot;?&quot;#,##0"/>
    <numFmt numFmtId="183" formatCode="_ &quot;\&quot;* #,##0_ ;_ &quot;\&quot;* \-#,##0_ ;_ &quot;\&quot;* &quot;-&quot;_ ;_ @_ "/>
    <numFmt numFmtId="184" formatCode="_-&quot;\&quot;* #,##0_-;\-&quot;\&quot;* #,##0_-;_-&quot;\&quot;* &quot;-&quot;_-;_-@_-"/>
    <numFmt numFmtId="185" formatCode="_ &quot;\&quot;* #,##0.00_ ;_ &quot;\&quot;* \-#,##0.00_ ;_ &quot;\&quot;* &quot;-&quot;??_ ;_ @_ "/>
    <numFmt numFmtId="186" formatCode="_-&quot;\&quot;* #,##0.00_-;\-&quot;\&quot;* #,##0.00_-;_-&quot;\&quot;* &quot;-&quot;??_-;_-@_-"/>
    <numFmt numFmtId="187" formatCode="_ * #,##0_ ;_ * \-#,##0_ ;_ * &quot;-&quot;_ ;_ @_ "/>
    <numFmt numFmtId="188" formatCode="_ * #,##0.00_ ;_ * \-#,##0.00_ ;_ * &quot;-&quot;??_ ;_ @_ "/>
    <numFmt numFmtId="189" formatCode="#,##0.0_);\(#,##0.0\)"/>
    <numFmt numFmtId="190" formatCode="0.0%;[Red]\(0.0%\)"/>
    <numFmt numFmtId="191" formatCode="_ * #,##0.00_)&quot;£&quot;_ ;_ * \(#,##0.00\)&quot;£&quot;_ ;_ * &quot;-&quot;??_)&quot;£&quot;_ ;_ @_ "/>
    <numFmt numFmtId="192" formatCode="_-&quot;£&quot;* #,##0.00_-;\-&quot;£&quot;* #,##0.00_-;_-&quot;£&quot;* &quot;-&quot;??_-;_-@_-"/>
    <numFmt numFmtId="193" formatCode="0.0%;\(0.0%\)"/>
    <numFmt numFmtId="194" formatCode="_-&quot;₩&quot;* #,##0_-;\-&quot;₩&quot;* #,##0_-;_-&quot;₩&quot;* &quot;-&quot;_-;_-@_-"/>
    <numFmt numFmtId="195" formatCode="\$#&quot;€&quot;##0\ ;\(\$#&quot;€&quot;##0\)"/>
    <numFmt numFmtId="196" formatCode="\U\S\$#,##0.00;\(\U\S\$#,##0.00\)"/>
    <numFmt numFmtId="197" formatCode="_-* #,##0\ _D_M_-;\-* #,##0\ _D_M_-;_-* &quot;-&quot;\ _D_M_-;_-@_-"/>
    <numFmt numFmtId="198" formatCode="_-* #,##0.00\ _D_M_-;\-* #,##0.00\ _D_M_-;_-* &quot;-&quot;??\ _D_M_-;_-@_-"/>
    <numFmt numFmtId="199" formatCode="_-[$€]* #,##0.00_-;\-[$€]* #,##0.00_-;_-[$€]* &quot;-&quot;??_-;_-@_-"/>
    <numFmt numFmtId="200" formatCode="_ * #,##0.0_ ;_ * \-#,##0.0_ ;_ * &quot;-&quot;??_ ;_ @_ "/>
    <numFmt numFmtId="201" formatCode="#."/>
    <numFmt numFmtId="202" formatCode="&quot;£&quot;#,##0;\-&quot;£&quot;#,##0"/>
    <numFmt numFmtId="203" formatCode="#,###"/>
    <numFmt numFmtId="204" formatCode="&quot;£&quot;###,0&quot;.&quot;00_);[Red]\(&quot;£&quot;###,0&quot;.&quot;00\)"/>
    <numFmt numFmtId="205" formatCode="m/d"/>
    <numFmt numFmtId="206" formatCode="&quot;ß&quot;#,##0;\-&quot;&quot;\ß&quot;&quot;#,##0"/>
    <numFmt numFmtId="207" formatCode="_-* #,##0.000000_-;\-* #,##0.000000_-;_-* &quot;-&quot;??_-;_-@_-"/>
    <numFmt numFmtId="208" formatCode="#,##0.000_);\(#,##0.000\)"/>
    <numFmt numFmtId="209" formatCode="_-* #,##0.0\ _F_-;\-* #,##0.0\ _F_-;_-* &quot;-&quot;??\ _F_-;_-@_-"/>
    <numFmt numFmtId="210" formatCode="#,##0.00\ &quot;F&quot;;[Red]\-#,##0.00\ &quot;F&quot;"/>
    <numFmt numFmtId="211" formatCode="&quot;\&quot;#,##0;[Red]\-&quot;\&quot;#,##0"/>
    <numFmt numFmtId="212" formatCode="#,##0\ &quot;F&quot;;\-#,##0\ &quot;F&quot;"/>
    <numFmt numFmtId="213" formatCode="#,##0\ &quot;F&quot;;[Red]\-#,##0\ &quot;F&quot;"/>
    <numFmt numFmtId="214" formatCode="_-* #,##0\ _F_-;\-* #,##0\ _F_-;_-* &quot;-&quot;\ _F_-;_-@_-"/>
    <numFmt numFmtId="215" formatCode="_-&quot;£&quot;* #,##0_-;\-&quot;£&quot;* #,##0_-;_-&quot;£&quot;* &quot;-&quot;_-;_-@_-"/>
    <numFmt numFmtId="216" formatCode="#,###,###.00"/>
    <numFmt numFmtId="217" formatCode="#,###,###,###.00"/>
    <numFmt numFmtId="218" formatCode="&quot;£&quot;#,##0;[Red]\-&quot;£&quot;#,##0"/>
    <numFmt numFmtId="219" formatCode="_-* #,##0\ &quot;DM&quot;_-;\-* #,##0\ &quot;DM&quot;_-;_-* &quot;-&quot;\ &quot;DM&quot;_-;_-@_-"/>
    <numFmt numFmtId="220" formatCode="_-* #,##0.00\ &quot;DM&quot;_-;\-* #,##0.00\ &quot;DM&quot;_-;_-* &quot;-&quot;??\ &quot;DM&quot;_-;_-@_-"/>
    <numFmt numFmtId="221" formatCode="_ * #,##0.0_ ;_ * &quot;\&quot;\!\-#,##0.0_ ;_ * &quot;-&quot;_ ;_ @_ "/>
    <numFmt numFmtId="222" formatCode="_-* #,##0_-;&quot;\&quot;\!\-* #,##0_-;_-* &quot;-&quot;_-;_-@_-"/>
    <numFmt numFmtId="223" formatCode="_-* #,##0.00\ _k_r_._-;\-* #,##0.00\ _k_r_._-;_-* &quot;-&quot;??\ _k_r_._-;_-@_-"/>
    <numFmt numFmtId="224" formatCode="&quot;\&quot;#&quot;€&quot;##0.00;[Red]&quot;\&quot;\-#&quot;€&quot;##0.00"/>
    <numFmt numFmtId="225" formatCode="&quot;\&quot;#&quot;€&quot;##0;[Red]&quot;\&quot;\-#&quot;€&quot;##0"/>
    <numFmt numFmtId="226" formatCode="_-&quot;€&quot;* #,##0_-;\-&quot;€&quot;* #,##0_-;_-&quot;€&quot;* &quot;-&quot;_-;_-@_-"/>
    <numFmt numFmtId="227" formatCode="&quot;€&quot;#,##0;[Red]\-&quot;€&quot;#,##0"/>
    <numFmt numFmtId="228" formatCode="_-&quot;€&quot;* #,##0.00_-;\-&quot;€&quot;* #,##0.00_-;_-&quot;€&quot;* &quot;-&quot;??_-;_-@_-"/>
    <numFmt numFmtId="229" formatCode="&quot;\&quot;#,##0;[Red]&quot;\&quot;\-#,##0"/>
    <numFmt numFmtId="230" formatCode="_-* #.##0_-;\-* #.##0_-;_-* &quot;-&quot;_-;_-@_-"/>
    <numFmt numFmtId="231" formatCode="_(* #,##0.0_);_(* \(#,##0.0\);_(* &quot;-&quot;??_);_(@_)"/>
  </numFmts>
  <fonts count="229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sz val="12"/>
      <name val="돋움체"/>
      <family val="3"/>
      <charset val="129"/>
    </font>
    <font>
      <sz val="10"/>
      <name val="VnBravo Times"/>
      <family val="1"/>
    </font>
    <font>
      <sz val="10"/>
      <color theme="1"/>
      <name val="VnBravo Times"/>
      <family val="2"/>
    </font>
    <font>
      <sz val="11"/>
      <color theme="1"/>
      <name val="Calibri"/>
      <family val="2"/>
      <charset val="129"/>
      <scheme val="minor"/>
    </font>
    <font>
      <sz val="10"/>
      <color theme="1"/>
      <name val="Times New Roman"/>
      <family val="2"/>
    </font>
    <font>
      <sz val="12"/>
      <color indexed="8"/>
      <name val="Times New Roman"/>
      <family val="1"/>
    </font>
    <font>
      <sz val="12"/>
      <name val="바탕체"/>
      <family val="1"/>
      <charset val="129"/>
    </font>
    <font>
      <sz val="12"/>
      <name val="VNtimes new roman"/>
      <family val="2"/>
    </font>
    <font>
      <sz val="10"/>
      <name val="VNI-Helve-Condense"/>
    </font>
    <font>
      <sz val="11"/>
      <name val="??"/>
      <family val="3"/>
    </font>
    <font>
      <sz val="10"/>
      <name val="?? ??"/>
      <family val="1"/>
      <charset val="136"/>
    </font>
    <font>
      <sz val="12"/>
      <name val="바탕체"/>
      <family val="1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name val="MS Sans Serif"/>
      <family val="2"/>
    </font>
    <font>
      <sz val="12"/>
      <name val="Arial"/>
      <family val="2"/>
    </font>
    <font>
      <sz val="10"/>
      <name val="Helv"/>
      <family val="2"/>
    </font>
    <font>
      <sz val="12"/>
      <name val="宋体"/>
      <charset val="134"/>
    </font>
    <font>
      <sz val="11"/>
      <name val="굴림체"/>
      <family val="3"/>
      <charset val="129"/>
    </font>
    <font>
      <b/>
      <sz val="14"/>
      <name val="VNI-Times"/>
    </font>
    <font>
      <sz val="11"/>
      <name val="돋움"/>
      <family val="3"/>
      <charset val="129"/>
    </font>
    <font>
      <sz val="11"/>
      <name val="바탕체"/>
      <family val="1"/>
      <charset val="129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10"/>
      <name val="굴림체"/>
      <family val="3"/>
      <charset val="129"/>
    </font>
    <font>
      <b/>
      <u/>
      <sz val="14"/>
      <color indexed="8"/>
      <name val=".VnBook-AntiquaH"/>
      <family val="2"/>
    </font>
    <font>
      <sz val="10"/>
      <name val="VnTimes"/>
    </font>
    <font>
      <sz val="13"/>
      <name val="VNtimes New Roman"/>
      <family val="2"/>
    </font>
    <font>
      <i/>
      <sz val="12"/>
      <color indexed="8"/>
      <name val=".VnBook-AntiquaH"/>
      <family val="2"/>
    </font>
    <font>
      <sz val="11"/>
      <color indexed="8"/>
      <name val="Calibri"/>
      <family val="2"/>
    </font>
    <font>
      <sz val="11"/>
      <color indexed="8"/>
      <name val="맑은 고딕"/>
      <family val="3"/>
      <charset val="129"/>
    </font>
    <font>
      <sz val="11"/>
      <color indexed="8"/>
      <name val="宋体"/>
      <charset val="134"/>
    </font>
    <font>
      <sz val="12"/>
      <color indexed="8"/>
      <name val="新細明體"/>
      <family val="1"/>
      <charset val="136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1"/>
      <color indexed="9"/>
      <name val="宋体"/>
      <charset val="134"/>
    </font>
    <font>
      <sz val="12"/>
      <color indexed="9"/>
      <name val="新細明體"/>
      <family val="1"/>
      <charset val="136"/>
    </font>
    <font>
      <sz val="12"/>
      <name val="￥i￠￢￠?oA¨u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2"/>
      <name val="±¼¸²Ã¼"/>
      <family val="3"/>
      <charset val="129"/>
    </font>
    <font>
      <sz val="11"/>
      <name val="μ¸¿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family val="1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¹UAAA¼"/>
      <family val="3"/>
      <charset val="136"/>
    </font>
    <font>
      <sz val="12"/>
      <name val="μ¸¿o"/>
      <family val="3"/>
      <charset val="129"/>
    </font>
    <font>
      <sz val="11"/>
      <color indexed="20"/>
      <name val="Calibri"/>
      <family val="2"/>
    </font>
    <font>
      <sz val="12"/>
      <name val="Tms Rmn"/>
      <family val="1"/>
    </font>
    <font>
      <sz val="12"/>
      <name val="ⓒoUAAA¨u"/>
      <family val="1"/>
      <charset val="129"/>
    </font>
    <font>
      <sz val="11"/>
      <name val="µ¸¿ò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1"/>
      <charset val="129"/>
    </font>
    <font>
      <sz val="11"/>
      <name val="¹ÙÅÁÃ¼"/>
      <family val="1"/>
      <charset val="129"/>
    </font>
    <font>
      <sz val="10"/>
      <name val="Helv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0"/>
      <name val="VNI-Aptima"/>
    </font>
    <font>
      <sz val="11"/>
      <name val="돋움"/>
    </font>
    <font>
      <sz val="12"/>
      <name val="굴림체"/>
      <family val="3"/>
      <charset val="129"/>
    </font>
    <font>
      <sz val="12"/>
      <name val="???"/>
    </font>
    <font>
      <sz val="10"/>
      <color indexed="8"/>
      <name val="Arial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b/>
      <sz val="16"/>
      <color indexed="16"/>
      <name val="VNbritannic"/>
      <family val="2"/>
    </font>
    <font>
      <b/>
      <sz val="18"/>
      <color indexed="12"/>
      <name val="VNbritannic"/>
      <family val="2"/>
    </font>
    <font>
      <b/>
      <sz val="18"/>
      <name val="VNnew Century Cond"/>
      <family val="2"/>
    </font>
    <font>
      <b/>
      <sz val="20"/>
      <color indexed="12"/>
      <name val="VNnew Century Cond"/>
      <family val="2"/>
    </font>
    <font>
      <b/>
      <sz val="16"/>
      <name val="VNlucida sans"/>
      <family val="2"/>
    </font>
    <font>
      <b/>
      <sz val="18"/>
      <color indexed="10"/>
      <name val="VNnew Century Cond"/>
      <family val="2"/>
    </font>
    <font>
      <b/>
      <sz val="16"/>
      <color indexed="14"/>
      <name val="VNottawa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.VnBook-AntiquaH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b/>
      <sz val="10"/>
      <name val=".VnTime"/>
      <family val="2"/>
    </font>
    <font>
      <b/>
      <sz val="14"/>
      <name val=".VnTimeH"/>
      <family val="2"/>
    </font>
    <font>
      <sz val="8"/>
      <color indexed="12"/>
      <name val="Helv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0"/>
      <name val=".VnAvant"/>
      <family val="2"/>
    </font>
    <font>
      <sz val="11"/>
      <color indexed="60"/>
      <name val="Calibri"/>
      <family val="2"/>
    </font>
    <font>
      <sz val="10"/>
      <name val="Times New Roman"/>
      <family val="1"/>
    </font>
    <font>
      <sz val="7"/>
      <name val="Small Fonts"/>
      <family val="2"/>
    </font>
    <font>
      <b/>
      <sz val="12"/>
      <name val="VN-NTime"/>
      <family val="2"/>
    </font>
    <font>
      <sz val="10"/>
      <color indexed="8"/>
      <name val="Times New Roman"/>
      <family val="2"/>
    </font>
    <font>
      <sz val="12"/>
      <name val="VNI-Times"/>
    </font>
    <font>
      <sz val="12"/>
      <name val=".VnTime"/>
      <family val="2"/>
    </font>
    <font>
      <sz val="14"/>
      <name val="뼻뮝"/>
      <family val="3"/>
      <charset val="129"/>
    </font>
    <font>
      <sz val="14"/>
      <name val="–¾’©"/>
      <family val="3"/>
      <charset val="129"/>
    </font>
    <font>
      <b/>
      <sz val="11"/>
      <name val="Arial"/>
      <family val="2"/>
    </font>
    <font>
      <b/>
      <sz val="11"/>
      <color indexed="63"/>
      <name val="Calibri"/>
      <family val="2"/>
    </font>
    <font>
      <sz val="12"/>
      <name val="Helv"/>
      <family val="2"/>
    </font>
    <font>
      <b/>
      <sz val="10"/>
      <name val="MS Sans Serif"/>
      <family val="2"/>
    </font>
    <font>
      <sz val="13"/>
      <name val=".VnTime"/>
      <family val="2"/>
    </font>
    <font>
      <sz val="12"/>
      <name val="VNTime"/>
    </font>
    <font>
      <b/>
      <sz val="18"/>
      <color indexed="56"/>
      <name val="Cambria"/>
      <family val="2"/>
    </font>
    <font>
      <sz val="8"/>
      <color indexed="20"/>
      <name val="Tahoma"/>
      <family val="2"/>
    </font>
    <font>
      <sz val="10"/>
      <name val="VNtimes new roman"/>
      <family val="2"/>
    </font>
    <font>
      <b/>
      <sz val="8"/>
      <name val="VN Helvetica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10"/>
      <name val=".VnTime"/>
      <family val="2"/>
    </font>
    <font>
      <sz val="9"/>
      <name val=".VnTime"/>
      <family val="2"/>
    </font>
    <font>
      <i/>
      <sz val="8"/>
      <color indexed="8"/>
      <name val="Tahoma"/>
      <family val="2"/>
    </font>
    <font>
      <sz val="11"/>
      <color indexed="10"/>
      <name val="Calibri"/>
      <family val="2"/>
    </font>
    <font>
      <sz val="14"/>
      <name val=".VnArial"/>
      <family val="2"/>
    </font>
    <font>
      <sz val="16"/>
      <name val="AngsanaUPC"/>
      <family val="3"/>
    </font>
    <font>
      <sz val="10"/>
      <name val=" "/>
      <family val="1"/>
      <charset val="136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u/>
      <sz val="10"/>
      <color indexed="36"/>
      <name val="굴림"/>
      <family val="3"/>
      <charset val="129"/>
    </font>
    <font>
      <sz val="12"/>
      <name val="┭병릇"/>
      <family val="1"/>
      <charset val="129"/>
    </font>
    <font>
      <sz val="1"/>
      <color indexed="0"/>
      <name val="Courier"/>
      <family val="3"/>
    </font>
    <font>
      <sz val="12"/>
      <name val="바탕체"/>
      <family val="3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12"/>
      <name val="옢?릇"/>
      <family val="3"/>
      <charset val="129"/>
    </font>
    <font>
      <sz val="12"/>
      <color indexed="24"/>
      <name val="바탕체"/>
      <family val="1"/>
      <charset val="129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17"/>
      <name val="宋体"/>
      <charset val="134"/>
    </font>
    <font>
      <sz val="12"/>
      <color indexed="17"/>
      <name val="新細明體"/>
      <family val="1"/>
      <charset val="136"/>
    </font>
    <font>
      <sz val="11"/>
      <color indexed="17"/>
      <name val="宋体"/>
    </font>
    <font>
      <sz val="11"/>
      <color indexed="20"/>
      <name val="宋体"/>
      <charset val="134"/>
    </font>
    <font>
      <sz val="11"/>
      <color indexed="20"/>
      <name val="宋体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</font>
    <font>
      <sz val="11"/>
      <name val="ＭＳ Ｐゴシック"/>
      <family val="3"/>
      <charset val="128"/>
    </font>
    <font>
      <b/>
      <sz val="11"/>
      <color indexed="9"/>
      <name val="宋体"/>
      <charset val="134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Times New Roman"/>
      <family val="1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2"/>
      <color indexed="52"/>
      <name val="新細明體"/>
      <family val="1"/>
      <charset val="136"/>
    </font>
    <font>
      <sz val="11"/>
      <color indexed="52"/>
      <name val="宋体"/>
      <charset val="134"/>
    </font>
    <font>
      <u/>
      <sz val="12"/>
      <color indexed="36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u/>
      <sz val="13"/>
      <name val="Times New Roman"/>
      <family val="1"/>
    </font>
    <font>
      <b/>
      <vertAlign val="subscript"/>
      <sz val="13"/>
      <name val="Times New Roman"/>
      <family val="1"/>
    </font>
    <font>
      <sz val="13"/>
      <color indexed="8"/>
      <name val="Times New Roman"/>
      <family val="1"/>
    </font>
    <font>
      <sz val="10"/>
      <color theme="1"/>
      <name val="VnBravo Times"/>
      <family val="2"/>
      <charset val="163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0"/>
      <color theme="1"/>
      <name val="Times New Roman"/>
      <family val="2"/>
      <charset val="163"/>
    </font>
    <font>
      <sz val="10"/>
      <name val="Arial"/>
      <family val="2"/>
    </font>
    <font>
      <b/>
      <sz val="16"/>
      <color indexed="81"/>
      <name val="Times New Roman"/>
      <family val="1"/>
    </font>
    <font>
      <sz val="16"/>
      <color indexed="81"/>
      <name val="Times New Roman"/>
      <family val="1"/>
    </font>
    <font>
      <b/>
      <sz val="16"/>
      <color indexed="10"/>
      <name val="Times New Roman"/>
      <family val="1"/>
    </font>
    <font>
      <b/>
      <vertAlign val="superscript"/>
      <sz val="13"/>
      <color theme="1"/>
      <name val="Times New Roman"/>
      <family val="1"/>
    </font>
    <font>
      <b/>
      <sz val="13"/>
      <color indexed="81"/>
      <name val="Tahoma"/>
      <family val="2"/>
    </font>
    <font>
      <sz val="8"/>
      <name val="Calibri"/>
      <family val="2"/>
      <scheme val="minor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8"/>
      <name val="Times New Roman"/>
      <family val="1"/>
    </font>
    <font>
      <b/>
      <sz val="18"/>
      <name val="Times New Roman"/>
      <family val="1"/>
      <charset val="163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lightGray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0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22"/>
        <bgColor indexed="25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0"/>
      </right>
      <top/>
      <bottom/>
      <diagonal/>
    </border>
    <border>
      <left/>
      <right/>
      <top style="double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38">
    <xf numFmtId="0" fontId="0" fillId="0" borderId="0"/>
    <xf numFmtId="166" fontId="4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>
      <alignment vertical="center"/>
    </xf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" fontId="16" fillId="0" borderId="2"/>
    <xf numFmtId="0" fontId="6" fillId="0" borderId="0"/>
    <xf numFmtId="166" fontId="4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0" fontId="4" fillId="0" borderId="0">
      <alignment vertical="center"/>
    </xf>
    <xf numFmtId="0" fontId="18" fillId="0" borderId="0"/>
    <xf numFmtId="0" fontId="15" fillId="0" borderId="0"/>
    <xf numFmtId="0" fontId="17" fillId="0" borderId="0"/>
    <xf numFmtId="0" fontId="19" fillId="0" borderId="0">
      <alignment vertical="center"/>
    </xf>
    <xf numFmtId="0" fontId="2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6" fillId="0" borderId="0"/>
    <xf numFmtId="0" fontId="6" fillId="0" borderId="0"/>
    <xf numFmtId="172" fontId="22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8" fontId="23" fillId="0" borderId="13" applyFont="0" applyBorder="0"/>
    <xf numFmtId="172" fontId="22" fillId="0" borderId="0"/>
    <xf numFmtId="173" fontId="24" fillId="0" borderId="0" applyFill="0" applyBorder="0" applyAlignment="0" applyProtection="0"/>
    <xf numFmtId="174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175" fontId="25" fillId="0" borderId="0" applyFont="0" applyFill="0" applyBorder="0" applyAlignment="0" applyProtection="0"/>
    <xf numFmtId="0" fontId="22" fillId="0" borderId="0"/>
    <xf numFmtId="0" fontId="27" fillId="0" borderId="0"/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165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176" fontId="31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22" fillId="0" borderId="0" applyFont="0" applyFill="0" applyBorder="0" applyAlignment="0" applyProtection="0"/>
    <xf numFmtId="0" fontId="6" fillId="0" borderId="0"/>
    <xf numFmtId="40" fontId="32" fillId="0" borderId="0" applyFont="0" applyFill="0" applyBorder="0" applyAlignment="0" applyProtection="0"/>
    <xf numFmtId="0" fontId="33" fillId="0" borderId="0"/>
    <xf numFmtId="0" fontId="34" fillId="0" borderId="0"/>
    <xf numFmtId="0" fontId="34" fillId="0" borderId="0"/>
    <xf numFmtId="40" fontId="32" fillId="0" borderId="0" applyFont="0" applyFill="0" applyBorder="0" applyAlignment="0" applyProtection="0"/>
    <xf numFmtId="0" fontId="34" fillId="0" borderId="0"/>
    <xf numFmtId="0" fontId="6" fillId="0" borderId="0"/>
    <xf numFmtId="0" fontId="6" fillId="0" borderId="0"/>
    <xf numFmtId="40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0" fontId="6" fillId="0" borderId="0"/>
    <xf numFmtId="0" fontId="6" fillId="0" borderId="0"/>
    <xf numFmtId="0" fontId="35" fillId="0" borderId="0"/>
    <xf numFmtId="0" fontId="34" fillId="0" borderId="0"/>
    <xf numFmtId="0" fontId="3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/>
    <xf numFmtId="0" fontId="6" fillId="0" borderId="0"/>
    <xf numFmtId="0" fontId="6" fillId="0" borderId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ill="0" applyBorder="0"/>
    <xf numFmtId="0" fontId="6" fillId="0" borderId="0"/>
    <xf numFmtId="0" fontId="6" fillId="0" borderId="0" applyFill="0" applyBorder="0"/>
    <xf numFmtId="0" fontId="6" fillId="0" borderId="0"/>
    <xf numFmtId="0" fontId="6" fillId="0" borderId="0"/>
    <xf numFmtId="0" fontId="6" fillId="0" borderId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/>
    <xf numFmtId="0" fontId="6" fillId="0" borderId="0" applyFill="0" applyBorder="0"/>
    <xf numFmtId="0" fontId="6" fillId="0" borderId="0" applyFill="0" applyBorder="0"/>
    <xf numFmtId="0" fontId="6" fillId="0" borderId="0"/>
    <xf numFmtId="0" fontId="6" fillId="0" borderId="0" applyFill="0" applyBorder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 applyFill="0" applyBorder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ill="0" applyBorder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6" fillId="0" borderId="0"/>
    <xf numFmtId="0" fontId="6" fillId="0" borderId="0"/>
    <xf numFmtId="0" fontId="35" fillId="0" borderId="0"/>
    <xf numFmtId="0" fontId="37" fillId="0" borderId="0"/>
    <xf numFmtId="0" fontId="6" fillId="0" borderId="0"/>
    <xf numFmtId="177" fontId="38" fillId="0" borderId="0" applyFont="0" applyFill="0" applyBorder="0" applyAlignment="0" applyProtection="0"/>
    <xf numFmtId="0" fontId="6" fillId="0" borderId="0"/>
    <xf numFmtId="0" fontId="6" fillId="0" borderId="0"/>
    <xf numFmtId="40" fontId="32" fillId="0" borderId="0" applyFont="0" applyFill="0" applyBorder="0" applyAlignment="0" applyProtection="0"/>
    <xf numFmtId="0" fontId="34" fillId="0" borderId="0"/>
    <xf numFmtId="40" fontId="3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6" fillId="0" borderId="0"/>
    <xf numFmtId="0" fontId="37" fillId="0" borderId="0"/>
    <xf numFmtId="0" fontId="37" fillId="0" borderId="0"/>
    <xf numFmtId="0" fontId="6" fillId="0" borderId="0"/>
    <xf numFmtId="0" fontId="34" fillId="0" borderId="0"/>
    <xf numFmtId="0" fontId="6" fillId="0" borderId="0"/>
    <xf numFmtId="0" fontId="6" fillId="0" borderId="0"/>
    <xf numFmtId="0" fontId="38" fillId="0" borderId="0" applyFont="0" applyFill="0" applyBorder="0" applyAlignment="0" applyProtection="0"/>
    <xf numFmtId="0" fontId="6" fillId="0" borderId="0"/>
    <xf numFmtId="178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80" fontId="39" fillId="0" borderId="0" applyFont="0" applyFill="0" applyBorder="0" applyAlignment="0" applyProtection="0"/>
    <xf numFmtId="181" fontId="38" fillId="0" borderId="0" applyFont="0" applyFill="0" applyBorder="0" applyAlignment="0" applyProtection="0"/>
    <xf numFmtId="182" fontId="39" fillId="0" borderId="0" applyFont="0" applyFill="0" applyBorder="0" applyAlignment="0" applyProtection="0"/>
    <xf numFmtId="177" fontId="38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6" fillId="0" borderId="0"/>
    <xf numFmtId="0" fontId="6" fillId="0" borderId="0"/>
    <xf numFmtId="40" fontId="3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72" fontId="22" fillId="0" borderId="0"/>
    <xf numFmtId="0" fontId="42" fillId="7" borderId="0">
      <protection locked="0"/>
    </xf>
    <xf numFmtId="0" fontId="34" fillId="7" borderId="0">
      <protection locked="0"/>
    </xf>
    <xf numFmtId="0" fontId="34" fillId="7" borderId="0">
      <protection locked="0"/>
    </xf>
    <xf numFmtId="0" fontId="34" fillId="7" borderId="0">
      <protection locked="0"/>
    </xf>
    <xf numFmtId="0" fontId="34" fillId="7" borderId="0">
      <protection locked="0"/>
    </xf>
    <xf numFmtId="0" fontId="34" fillId="7" borderId="0">
      <protection locked="0"/>
    </xf>
    <xf numFmtId="0" fontId="34" fillId="7" borderId="0">
      <protection locked="0"/>
    </xf>
    <xf numFmtId="0" fontId="34" fillId="7" borderId="0">
      <protection locked="0"/>
    </xf>
    <xf numFmtId="0" fontId="43" fillId="8" borderId="0"/>
    <xf numFmtId="0" fontId="43" fillId="8" borderId="0"/>
    <xf numFmtId="0" fontId="43" fillId="8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5" fillId="0" borderId="0" applyAlignment="0"/>
    <xf numFmtId="0" fontId="6" fillId="0" borderId="0"/>
    <xf numFmtId="0" fontId="46" fillId="8" borderId="0"/>
    <xf numFmtId="0" fontId="22" fillId="0" borderId="0" applyFont="0" applyFill="0" applyBorder="0" applyAlignment="0" applyProtection="0"/>
    <xf numFmtId="0" fontId="47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1" borderId="0" applyNumberFormat="0" applyBorder="0" applyAlignment="0" applyProtection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4" borderId="0" applyNumberFormat="0" applyBorder="0" applyAlignment="0" applyProtection="0"/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8" borderId="0"/>
    <xf numFmtId="0" fontId="52" fillId="0" borderId="0">
      <alignment wrapText="1"/>
    </xf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2" borderId="0" applyNumberFormat="0" applyBorder="0" applyAlignment="0" applyProtection="0"/>
    <xf numFmtId="0" fontId="47" fillId="15" borderId="0" applyNumberFormat="0" applyBorder="0" applyAlignment="0" applyProtection="0"/>
    <xf numFmtId="0" fontId="47" fillId="18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4" fillId="19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3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5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6" borderId="0" applyNumberFormat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8" fillId="0" borderId="0" applyFont="0" applyFill="0" applyBorder="0" applyAlignment="0" applyProtection="0"/>
    <xf numFmtId="183" fontId="60" fillId="0" borderId="0" applyFont="0" applyFill="0" applyBorder="0" applyAlignment="0" applyProtection="0"/>
    <xf numFmtId="184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8" fillId="0" borderId="0" applyFont="0" applyFill="0" applyBorder="0" applyAlignment="0" applyProtection="0"/>
    <xf numFmtId="185" fontId="60" fillId="0" borderId="0" applyFont="0" applyFill="0" applyBorder="0" applyAlignment="0" applyProtection="0"/>
    <xf numFmtId="186" fontId="61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8" fillId="0" borderId="0" applyFont="0" applyFill="0" applyBorder="0" applyAlignment="0" applyProtection="0"/>
    <xf numFmtId="187" fontId="60" fillId="0" borderId="0" applyFont="0" applyFill="0" applyBorder="0" applyAlignment="0" applyProtection="0"/>
    <xf numFmtId="165" fontId="61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58" fillId="0" borderId="0" applyFont="0" applyFill="0" applyBorder="0" applyAlignment="0"/>
    <xf numFmtId="0" fontId="64" fillId="0" borderId="0" applyFont="0" applyFill="0" applyBorder="0" applyAlignment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4" fillId="0" borderId="0" applyFont="0" applyFill="0" applyBorder="0" applyAlignment="0"/>
    <xf numFmtId="0" fontId="58" fillId="0" borderId="0" applyFont="0" applyFill="0" applyBorder="0" applyAlignment="0"/>
    <xf numFmtId="0" fontId="5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58" fillId="0" borderId="0" applyFont="0" applyFill="0" applyBorder="0" applyAlignment="0" applyProtection="0"/>
    <xf numFmtId="38" fontId="64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8" fillId="0" borderId="0" applyFont="0" applyFill="0" applyBorder="0" applyAlignment="0" applyProtection="0"/>
    <xf numFmtId="188" fontId="60" fillId="0" borderId="0" applyFont="0" applyFill="0" applyBorder="0" applyAlignment="0" applyProtection="0"/>
    <xf numFmtId="166" fontId="61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40" fontId="58" fillId="0" borderId="0" applyFont="0" applyFill="0" applyBorder="0" applyAlignment="0" applyProtection="0"/>
    <xf numFmtId="40" fontId="64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9" fillId="10" borderId="0" applyNumberFormat="0" applyBorder="0" applyAlignment="0" applyProtection="0"/>
    <xf numFmtId="0" fontId="70" fillId="0" borderId="0" applyNumberFormat="0" applyFill="0" applyBorder="0" applyAlignment="0" applyProtection="0"/>
    <xf numFmtId="0" fontId="67" fillId="0" borderId="0"/>
    <xf numFmtId="0" fontId="71" fillId="0" borderId="0"/>
    <xf numFmtId="0" fontId="58" fillId="0" borderId="0"/>
    <xf numFmtId="0" fontId="72" fillId="0" borderId="0"/>
    <xf numFmtId="0" fontId="58" fillId="0" borderId="0"/>
    <xf numFmtId="0" fontId="73" fillId="0" borderId="0">
      <alignment vertical="center"/>
    </xf>
    <xf numFmtId="0" fontId="58" fillId="0" borderId="0"/>
    <xf numFmtId="0" fontId="63" fillId="0" borderId="0"/>
    <xf numFmtId="0" fontId="62" fillId="0" borderId="0"/>
    <xf numFmtId="0" fontId="59" fillId="0" borderId="0"/>
    <xf numFmtId="0" fontId="58" fillId="0" borderId="0"/>
    <xf numFmtId="0" fontId="64" fillId="0" borderId="0"/>
    <xf numFmtId="0" fontId="58" fillId="0" borderId="0"/>
    <xf numFmtId="0" fontId="74" fillId="0" borderId="0"/>
    <xf numFmtId="0" fontId="75" fillId="0" borderId="0"/>
    <xf numFmtId="0" fontId="74" fillId="0" borderId="0"/>
    <xf numFmtId="0" fontId="61" fillId="0" borderId="0"/>
    <xf numFmtId="0" fontId="63" fillId="0" borderId="0"/>
    <xf numFmtId="0" fontId="58" fillId="0" borderId="0"/>
    <xf numFmtId="0" fontId="59" fillId="0" borderId="0"/>
    <xf numFmtId="0" fontId="58" fillId="0" borderId="0"/>
    <xf numFmtId="0" fontId="64" fillId="0" borderId="0"/>
    <xf numFmtId="0" fontId="6" fillId="0" borderId="0"/>
    <xf numFmtId="0" fontId="63" fillId="0" borderId="0"/>
    <xf numFmtId="0" fontId="58" fillId="0" borderId="0"/>
    <xf numFmtId="0" fontId="64" fillId="0" borderId="0"/>
    <xf numFmtId="0" fontId="76" fillId="0" borderId="0"/>
    <xf numFmtId="0" fontId="59" fillId="0" borderId="0"/>
    <xf numFmtId="0" fontId="62" fillId="0" borderId="0"/>
    <xf numFmtId="0" fontId="63" fillId="0" borderId="0"/>
    <xf numFmtId="0" fontId="58" fillId="0" borderId="0"/>
    <xf numFmtId="0" fontId="64" fillId="0" borderId="0"/>
    <xf numFmtId="0" fontId="58" fillId="0" borderId="0"/>
    <xf numFmtId="0" fontId="77" fillId="0" borderId="0"/>
    <xf numFmtId="0" fontId="58" fillId="0" borderId="0"/>
    <xf numFmtId="0" fontId="59" fillId="0" borderId="0"/>
    <xf numFmtId="0" fontId="58" fillId="0" borderId="0"/>
    <xf numFmtId="0" fontId="64" fillId="0" borderId="0"/>
    <xf numFmtId="0" fontId="58" fillId="0" borderId="0"/>
    <xf numFmtId="0" fontId="64" fillId="0" borderId="0"/>
    <xf numFmtId="0" fontId="58" fillId="0" borderId="0"/>
    <xf numFmtId="0" fontId="78" fillId="0" borderId="0"/>
    <xf numFmtId="0" fontId="79" fillId="0" borderId="0"/>
    <xf numFmtId="0" fontId="60" fillId="0" borderId="0"/>
    <xf numFmtId="0" fontId="62" fillId="0" borderId="0"/>
    <xf numFmtId="0" fontId="63" fillId="0" borderId="0"/>
    <xf numFmtId="0" fontId="58" fillId="0" borderId="0"/>
    <xf numFmtId="0" fontId="64" fillId="0" borderId="0"/>
    <xf numFmtId="0" fontId="62" fillId="0" borderId="0"/>
    <xf numFmtId="0" fontId="64" fillId="0" borderId="0"/>
    <xf numFmtId="0" fontId="62" fillId="0" borderId="0"/>
    <xf numFmtId="0" fontId="63" fillId="0" borderId="0"/>
    <xf numFmtId="0" fontId="80" fillId="0" borderId="0"/>
    <xf numFmtId="0" fontId="64" fillId="0" borderId="0"/>
    <xf numFmtId="0" fontId="58" fillId="0" borderId="0"/>
    <xf numFmtId="0" fontId="66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58" fillId="0" borderId="0"/>
    <xf numFmtId="0" fontId="66" fillId="0" borderId="0"/>
    <xf numFmtId="0" fontId="83" fillId="0" borderId="0"/>
    <xf numFmtId="0" fontId="84" fillId="0" borderId="0"/>
    <xf numFmtId="0" fontId="58" fillId="0" borderId="0"/>
    <xf numFmtId="0" fontId="64" fillId="0" borderId="0"/>
    <xf numFmtId="0" fontId="58" fillId="0" borderId="0"/>
    <xf numFmtId="0" fontId="64" fillId="0" borderId="0"/>
    <xf numFmtId="0" fontId="58" fillId="0" borderId="0"/>
    <xf numFmtId="0" fontId="64" fillId="0" borderId="0"/>
    <xf numFmtId="0" fontId="58" fillId="0" borderId="0"/>
    <xf numFmtId="0" fontId="64" fillId="0" borderId="0"/>
    <xf numFmtId="0" fontId="58" fillId="0" borderId="0"/>
    <xf numFmtId="0" fontId="64" fillId="0" borderId="0"/>
    <xf numFmtId="0" fontId="58" fillId="0" borderId="0"/>
    <xf numFmtId="0" fontId="64" fillId="0" borderId="0"/>
    <xf numFmtId="0" fontId="61" fillId="0" borderId="0"/>
    <xf numFmtId="0" fontId="5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8" fillId="0" borderId="0"/>
    <xf numFmtId="0" fontId="64" fillId="0" borderId="0"/>
    <xf numFmtId="0" fontId="58" fillId="0" borderId="0"/>
    <xf numFmtId="0" fontId="64" fillId="0" borderId="0"/>
    <xf numFmtId="0" fontId="58" fillId="0" borderId="0"/>
    <xf numFmtId="0" fontId="64" fillId="0" borderId="0"/>
    <xf numFmtId="0" fontId="58" fillId="0" borderId="0"/>
    <xf numFmtId="0" fontId="64" fillId="0" borderId="0"/>
    <xf numFmtId="0" fontId="58" fillId="0" borderId="0"/>
    <xf numFmtId="0" fontId="64" fillId="0" borderId="0"/>
    <xf numFmtId="0" fontId="61" fillId="0" borderId="0"/>
    <xf numFmtId="0" fontId="59" fillId="0" borderId="0"/>
    <xf numFmtId="0" fontId="61" fillId="0" borderId="0"/>
    <xf numFmtId="0" fontId="64" fillId="0" borderId="0"/>
    <xf numFmtId="0" fontId="58" fillId="0" borderId="0"/>
    <xf numFmtId="0" fontId="64" fillId="0" borderId="0"/>
    <xf numFmtId="0" fontId="58" fillId="0" borderId="0"/>
    <xf numFmtId="0" fontId="64" fillId="0" borderId="0"/>
    <xf numFmtId="0" fontId="62" fillId="0" borderId="0"/>
    <xf numFmtId="0" fontId="66" fillId="0" borderId="0"/>
    <xf numFmtId="0" fontId="65" fillId="0" borderId="0"/>
    <xf numFmtId="0" fontId="66" fillId="0" borderId="0"/>
    <xf numFmtId="0" fontId="58" fillId="0" borderId="0"/>
    <xf numFmtId="0" fontId="64" fillId="0" borderId="0"/>
    <xf numFmtId="0" fontId="76" fillId="0" borderId="0"/>
    <xf numFmtId="0" fontId="85" fillId="0" borderId="0"/>
    <xf numFmtId="0" fontId="61" fillId="0" borderId="0"/>
    <xf numFmtId="0" fontId="59" fillId="0" borderId="0"/>
    <xf numFmtId="0" fontId="61" fillId="0" borderId="0"/>
    <xf numFmtId="0" fontId="86" fillId="0" borderId="0"/>
    <xf numFmtId="0" fontId="81" fillId="0" borderId="0"/>
    <xf numFmtId="0" fontId="82" fillId="0" borderId="0"/>
    <xf numFmtId="0" fontId="58" fillId="0" borderId="0"/>
    <xf numFmtId="0" fontId="64" fillId="0" borderId="0"/>
    <xf numFmtId="0" fontId="58" fillId="0" borderId="0"/>
    <xf numFmtId="0" fontId="60" fillId="0" borderId="0"/>
    <xf numFmtId="0" fontId="61" fillId="0" borderId="0"/>
    <xf numFmtId="0" fontId="82" fillId="0" borderId="0"/>
    <xf numFmtId="0" fontId="81" fillId="0" borderId="0"/>
    <xf numFmtId="0" fontId="82" fillId="0" borderId="0"/>
    <xf numFmtId="0" fontId="58" fillId="0" borderId="0" applyBorder="0"/>
    <xf numFmtId="0" fontId="64" fillId="0" borderId="0" applyBorder="0"/>
    <xf numFmtId="0" fontId="58" fillId="0" borderId="0"/>
    <xf numFmtId="0" fontId="64" fillId="0" borderId="0"/>
    <xf numFmtId="0" fontId="33" fillId="0" borderId="0"/>
    <xf numFmtId="0" fontId="59" fillId="0" borderId="0"/>
    <xf numFmtId="0" fontId="58" fillId="0" borderId="0"/>
    <xf numFmtId="0" fontId="64" fillId="0" borderId="0"/>
    <xf numFmtId="0" fontId="58" fillId="0" borderId="0"/>
    <xf numFmtId="0" fontId="64" fillId="0" borderId="0"/>
    <xf numFmtId="0" fontId="58" fillId="0" borderId="0"/>
    <xf numFmtId="0" fontId="64" fillId="0" borderId="0"/>
    <xf numFmtId="0" fontId="65" fillId="0" borderId="0"/>
    <xf numFmtId="0" fontId="66" fillId="0" borderId="0"/>
    <xf numFmtId="0" fontId="65" fillId="0" borderId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189" fontId="87" fillId="0" borderId="0" applyFill="0" applyBorder="0" applyAlignment="0"/>
    <xf numFmtId="171" fontId="87" fillId="0" borderId="0" applyFill="0" applyBorder="0" applyAlignment="0"/>
    <xf numFmtId="190" fontId="87" fillId="0" borderId="0" applyFill="0" applyBorder="0" applyAlignment="0"/>
    <xf numFmtId="191" fontId="6" fillId="0" borderId="0" applyFill="0" applyBorder="0" applyAlignment="0"/>
    <xf numFmtId="191" fontId="6" fillId="0" borderId="0" applyFill="0" applyBorder="0" applyAlignment="0"/>
    <xf numFmtId="191" fontId="6" fillId="0" borderId="0" applyFill="0" applyBorder="0" applyAlignment="0"/>
    <xf numFmtId="192" fontId="87" fillId="0" borderId="0" applyFill="0" applyBorder="0" applyAlignment="0"/>
    <xf numFmtId="193" fontId="87" fillId="0" borderId="0" applyFill="0" applyBorder="0" applyAlignment="0"/>
    <xf numFmtId="189" fontId="87" fillId="0" borderId="0" applyFill="0" applyBorder="0" applyAlignment="0"/>
    <xf numFmtId="0" fontId="88" fillId="27" borderId="14" applyNumberFormat="0" applyAlignment="0" applyProtection="0"/>
    <xf numFmtId="0" fontId="89" fillId="0" borderId="0"/>
    <xf numFmtId="0" fontId="90" fillId="28" borderId="15" applyNumberFormat="0" applyAlignment="0" applyProtection="0"/>
    <xf numFmtId="1" fontId="91" fillId="0" borderId="6" applyBorder="0"/>
    <xf numFmtId="0" fontId="34" fillId="0" borderId="16"/>
    <xf numFmtId="41" fontId="47" fillId="0" borderId="0" applyFont="0" applyFill="0" applyBorder="0" applyAlignment="0" applyProtection="0"/>
    <xf numFmtId="192" fontId="8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8" fillId="0" borderId="0"/>
    <xf numFmtId="165" fontId="92" fillId="0" borderId="0" applyFont="0" applyFill="0" applyBorder="0" applyAlignment="0" applyProtection="0">
      <alignment vertical="center"/>
    </xf>
    <xf numFmtId="3" fontId="6" fillId="0" borderId="0" applyFont="0" applyFill="0" applyBorder="0" applyAlignment="0" applyProtection="0"/>
    <xf numFmtId="0" fontId="34" fillId="0" borderId="16"/>
    <xf numFmtId="194" fontId="19" fillId="0" borderId="0" applyFont="0" applyFill="0" applyBorder="0" applyAlignment="0" applyProtection="0">
      <alignment vertical="center"/>
    </xf>
    <xf numFmtId="189" fontId="87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93" fillId="0" borderId="0"/>
    <xf numFmtId="187" fontId="94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6" fillId="0" borderId="0" applyFont="0" applyFill="0" applyBorder="0" applyAlignment="0" applyProtection="0"/>
    <xf numFmtId="14" fontId="95" fillId="0" borderId="0" applyFill="0" applyBorder="0" applyAlignment="0"/>
    <xf numFmtId="0" fontId="96" fillId="0" borderId="0">
      <protection locked="0"/>
    </xf>
    <xf numFmtId="196" fontId="6" fillId="0" borderId="17">
      <alignment vertical="center"/>
    </xf>
    <xf numFmtId="196" fontId="6" fillId="0" borderId="17">
      <alignment vertical="center"/>
    </xf>
    <xf numFmtId="196" fontId="6" fillId="0" borderId="17">
      <alignment vertical="center"/>
    </xf>
    <xf numFmtId="197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0" fontId="38" fillId="0" borderId="0"/>
    <xf numFmtId="180" fontId="39" fillId="0" borderId="0" applyFont="0" applyFill="0" applyBorder="0" applyAlignment="0" applyProtection="0"/>
    <xf numFmtId="192" fontId="87" fillId="0" borderId="0" applyFill="0" applyBorder="0" applyAlignment="0"/>
    <xf numFmtId="189" fontId="87" fillId="0" borderId="0" applyFill="0" applyBorder="0" applyAlignment="0"/>
    <xf numFmtId="192" fontId="87" fillId="0" borderId="0" applyFill="0" applyBorder="0" applyAlignment="0"/>
    <xf numFmtId="193" fontId="87" fillId="0" borderId="0" applyFill="0" applyBorder="0" applyAlignment="0"/>
    <xf numFmtId="189" fontId="87" fillId="0" borderId="0" applyFill="0" applyBorder="0" applyAlignment="0"/>
    <xf numFmtId="199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0" fontId="97" fillId="0" borderId="0" applyNumberFormat="0" applyFill="0" applyBorder="0" applyAlignment="0" applyProtection="0"/>
    <xf numFmtId="2" fontId="6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Protection="0">
      <alignment vertical="center"/>
    </xf>
    <xf numFmtId="0" fontId="100" fillId="0" borderId="0" applyNumberFormat="0" applyFill="0" applyBorder="0" applyAlignment="0" applyProtection="0"/>
    <xf numFmtId="0" fontId="101" fillId="0" borderId="0" applyNumberFormat="0" applyFill="0" applyBorder="0" applyProtection="0">
      <alignment vertical="center"/>
    </xf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200" fontId="6" fillId="0" borderId="18" applyNumberFormat="0" applyFill="0" applyBorder="0" applyAlignment="0" applyProtection="0"/>
    <xf numFmtId="200" fontId="6" fillId="0" borderId="18" applyNumberFormat="0" applyFill="0" applyBorder="0" applyAlignment="0" applyProtection="0"/>
    <xf numFmtId="200" fontId="6" fillId="0" borderId="18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11" borderId="0" applyNumberFormat="0" applyBorder="0" applyAlignment="0" applyProtection="0"/>
    <xf numFmtId="38" fontId="106" fillId="6" borderId="0" applyNumberFormat="0" applyBorder="0" applyAlignment="0" applyProtection="0"/>
    <xf numFmtId="38" fontId="106" fillId="6" borderId="0" applyNumberFormat="0" applyBorder="0" applyAlignment="0" applyProtection="0"/>
    <xf numFmtId="0" fontId="107" fillId="0" borderId="0" applyNumberFormat="0" applyFont="0" applyBorder="0" applyAlignment="0">
      <alignment horizontal="left" vertical="center"/>
    </xf>
    <xf numFmtId="0" fontId="108" fillId="0" borderId="0">
      <alignment horizontal="left"/>
    </xf>
    <xf numFmtId="0" fontId="109" fillId="0" borderId="19" applyNumberFormat="0" applyAlignment="0" applyProtection="0">
      <alignment horizontal="left" vertical="center"/>
    </xf>
    <xf numFmtId="0" fontId="109" fillId="0" borderId="4">
      <alignment horizontal="left" vertical="center"/>
    </xf>
    <xf numFmtId="0" fontId="110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11" fillId="0" borderId="20" applyNumberFormat="0" applyFill="0" applyAlignment="0" applyProtection="0"/>
    <xf numFmtId="0" fontId="111" fillId="0" borderId="0" applyNumberFormat="0" applyFill="0" applyBorder="0" applyAlignment="0" applyProtection="0"/>
    <xf numFmtId="201" fontId="112" fillId="0" borderId="0">
      <protection locked="0"/>
    </xf>
    <xf numFmtId="201" fontId="112" fillId="0" borderId="0">
      <protection locked="0"/>
    </xf>
    <xf numFmtId="202" fontId="113" fillId="29" borderId="2" applyNumberFormat="0" applyAlignment="0">
      <alignment horizontal="left" vertical="top"/>
    </xf>
    <xf numFmtId="49" fontId="114" fillId="0" borderId="2">
      <alignment vertical="center"/>
    </xf>
    <xf numFmtId="10" fontId="106" fillId="6" borderId="2" applyNumberFormat="0" applyBorder="0" applyAlignment="0" applyProtection="0"/>
    <xf numFmtId="10" fontId="106" fillId="6" borderId="2" applyNumberFormat="0" applyBorder="0" applyAlignment="0" applyProtection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192" fontId="87" fillId="0" borderId="0" applyFill="0" applyBorder="0" applyAlignment="0"/>
    <xf numFmtId="189" fontId="87" fillId="0" borderId="0" applyFill="0" applyBorder="0" applyAlignment="0"/>
    <xf numFmtId="192" fontId="87" fillId="0" borderId="0" applyFill="0" applyBorder="0" applyAlignment="0"/>
    <xf numFmtId="193" fontId="87" fillId="0" borderId="0" applyFill="0" applyBorder="0" applyAlignment="0"/>
    <xf numFmtId="189" fontId="87" fillId="0" borderId="0" applyFill="0" applyBorder="0" applyAlignment="0"/>
    <xf numFmtId="0" fontId="116" fillId="0" borderId="21" applyNumberFormat="0" applyFill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0" fontId="117" fillId="0" borderId="22"/>
    <xf numFmtId="203" fontId="118" fillId="0" borderId="11"/>
    <xf numFmtId="176" fontId="32" fillId="0" borderId="0" applyFont="0" applyFill="0" applyBorder="0" applyAlignment="0" applyProtection="0"/>
    <xf numFmtId="204" fontId="32" fillId="0" borderId="0" applyFont="0" applyFill="0" applyBorder="0" applyAlignment="0" applyProtection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0" fontId="33" fillId="0" borderId="0" applyNumberFormat="0" applyFont="0" applyFill="0" applyAlignment="0"/>
    <xf numFmtId="0" fontId="24" fillId="0" borderId="0" applyNumberFormat="0" applyFill="0" applyAlignment="0"/>
    <xf numFmtId="0" fontId="24" fillId="0" borderId="0" applyNumberFormat="0" applyFill="0" applyAlignment="0"/>
    <xf numFmtId="0" fontId="24" fillId="0" borderId="0" applyNumberFormat="0" applyFill="0" applyAlignment="0"/>
    <xf numFmtId="0" fontId="33" fillId="0" borderId="0" applyNumberFormat="0" applyFont="0" applyFill="0" applyAlignment="0"/>
    <xf numFmtId="0" fontId="119" fillId="30" borderId="0" applyNumberFormat="0" applyBorder="0" applyAlignment="0" applyProtection="0"/>
    <xf numFmtId="0" fontId="120" fillId="0" borderId="0"/>
    <xf numFmtId="37" fontId="121" fillId="0" borderId="0"/>
    <xf numFmtId="0" fontId="122" fillId="0" borderId="2" applyNumberFormat="0" applyFont="0" applyFill="0" applyBorder="0" applyAlignment="0">
      <alignment horizontal="center"/>
    </xf>
    <xf numFmtId="207" fontId="23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3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4" fillId="0" borderId="0"/>
    <xf numFmtId="0" fontId="6" fillId="0" borderId="0"/>
    <xf numFmtId="0" fontId="17" fillId="0" borderId="0"/>
    <xf numFmtId="0" fontId="19" fillId="0" borderId="0">
      <alignment vertical="center"/>
    </xf>
    <xf numFmtId="0" fontId="125" fillId="0" borderId="0"/>
    <xf numFmtId="0" fontId="6" fillId="31" borderId="23" applyNumberFormat="0" applyFont="0" applyAlignment="0" applyProtection="0"/>
    <xf numFmtId="0" fontId="6" fillId="31" borderId="23" applyNumberFormat="0" applyFont="0" applyAlignment="0" applyProtection="0"/>
    <xf numFmtId="0" fontId="6" fillId="31" borderId="23" applyNumberFormat="0" applyFont="0" applyAlignment="0" applyProtection="0"/>
    <xf numFmtId="40" fontId="126" fillId="0" borderId="0" applyFont="0" applyFill="0" applyBorder="0" applyAlignment="0" applyProtection="0"/>
    <xf numFmtId="40" fontId="127" fillId="0" borderId="0" applyFont="0" applyFill="0" applyBorder="0" applyAlignment="0" applyProtection="0"/>
    <xf numFmtId="38" fontId="127" fillId="0" borderId="0" applyFont="0" applyFill="0" applyBorder="0" applyAlignment="0" applyProtection="0"/>
    <xf numFmtId="0" fontId="128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120" fillId="0" borderId="0"/>
    <xf numFmtId="0" fontId="129" fillId="27" borderId="24" applyNumberFormat="0" applyAlignment="0" applyProtection="0"/>
    <xf numFmtId="0" fontId="21" fillId="6" borderId="0"/>
    <xf numFmtId="191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92" fontId="87" fillId="0" borderId="0" applyFill="0" applyBorder="0" applyAlignment="0"/>
    <xf numFmtId="189" fontId="87" fillId="0" borderId="0" applyFill="0" applyBorder="0" applyAlignment="0"/>
    <xf numFmtId="192" fontId="87" fillId="0" borderId="0" applyFill="0" applyBorder="0" applyAlignment="0"/>
    <xf numFmtId="193" fontId="87" fillId="0" borderId="0" applyFill="0" applyBorder="0" applyAlignment="0"/>
    <xf numFmtId="189" fontId="87" fillId="0" borderId="0" applyFill="0" applyBorder="0" applyAlignment="0"/>
    <xf numFmtId="0" fontId="130" fillId="0" borderId="0"/>
    <xf numFmtId="0" fontId="32" fillId="0" borderId="0" applyNumberFormat="0" applyFont="0" applyFill="0" applyBorder="0" applyAlignment="0" applyProtection="0">
      <alignment horizontal="left"/>
    </xf>
    <xf numFmtId="15" fontId="32" fillId="0" borderId="0" applyFont="0" applyFill="0" applyBorder="0" applyAlignment="0" applyProtection="0"/>
    <xf numFmtId="4" fontId="32" fillId="0" borderId="0" applyFont="0" applyFill="0" applyBorder="0" applyAlignment="0" applyProtection="0"/>
    <xf numFmtId="0" fontId="131" fillId="0" borderId="22">
      <alignment horizontal="center"/>
    </xf>
    <xf numFmtId="3" fontId="32" fillId="0" borderId="0" applyFont="0" applyFill="0" applyBorder="0" applyAlignment="0" applyProtection="0"/>
    <xf numFmtId="0" fontId="32" fillId="32" borderId="0" applyNumberFormat="0" applyFon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5" fillId="0" borderId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82" fontId="39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77" fontId="38" fillId="0" borderId="0" applyFont="0" applyFill="0" applyBorder="0" applyAlignment="0" applyProtection="0"/>
    <xf numFmtId="0" fontId="117" fillId="0" borderId="0"/>
    <xf numFmtId="209" fontId="125" fillId="0" borderId="3">
      <alignment horizontal="right" vertical="center"/>
    </xf>
    <xf numFmtId="209" fontId="125" fillId="0" borderId="3">
      <alignment horizontal="right" vertical="center"/>
    </xf>
    <xf numFmtId="210" fontId="132" fillId="0" borderId="3">
      <alignment horizontal="right" vertical="center"/>
    </xf>
    <xf numFmtId="210" fontId="132" fillId="0" borderId="3">
      <alignment horizontal="right" vertical="center"/>
    </xf>
    <xf numFmtId="210" fontId="132" fillId="0" borderId="3">
      <alignment horizontal="right" vertical="center"/>
    </xf>
    <xf numFmtId="210" fontId="132" fillId="0" borderId="3">
      <alignment horizontal="right" vertical="center"/>
    </xf>
    <xf numFmtId="210" fontId="132" fillId="0" borderId="3">
      <alignment horizontal="right" vertical="center"/>
    </xf>
    <xf numFmtId="210" fontId="132" fillId="0" borderId="3">
      <alignment horizontal="right" vertical="center"/>
    </xf>
    <xf numFmtId="210" fontId="132" fillId="0" borderId="3">
      <alignment horizontal="right" vertical="center"/>
    </xf>
    <xf numFmtId="210" fontId="132" fillId="0" borderId="3">
      <alignment horizontal="right" vertical="center"/>
    </xf>
    <xf numFmtId="210" fontId="132" fillId="0" borderId="3">
      <alignment horizontal="right" vertical="center"/>
    </xf>
    <xf numFmtId="210" fontId="132" fillId="0" borderId="3">
      <alignment horizontal="right" vertical="center"/>
    </xf>
    <xf numFmtId="211" fontId="125" fillId="0" borderId="3">
      <alignment horizontal="right" vertical="center"/>
    </xf>
    <xf numFmtId="211" fontId="125" fillId="0" borderId="3">
      <alignment horizontal="right" vertical="center"/>
    </xf>
    <xf numFmtId="211" fontId="125" fillId="0" borderId="3">
      <alignment horizontal="right" vertical="center"/>
    </xf>
    <xf numFmtId="210" fontId="132" fillId="0" borderId="3">
      <alignment horizontal="right" vertical="center"/>
    </xf>
    <xf numFmtId="210" fontId="132" fillId="0" borderId="3">
      <alignment horizontal="right" vertical="center"/>
    </xf>
    <xf numFmtId="210" fontId="132" fillId="0" borderId="3">
      <alignment horizontal="right" vertical="center"/>
    </xf>
    <xf numFmtId="49" fontId="95" fillId="0" borderId="0" applyFill="0" applyBorder="0" applyAlignment="0"/>
    <xf numFmtId="212" fontId="6" fillId="0" borderId="0" applyFill="0" applyBorder="0" applyAlignment="0"/>
    <xf numFmtId="212" fontId="6" fillId="0" borderId="0" applyFill="0" applyBorder="0" applyAlignment="0"/>
    <xf numFmtId="212" fontId="6" fillId="0" borderId="0" applyFill="0" applyBorder="0" applyAlignment="0"/>
    <xf numFmtId="213" fontId="6" fillId="0" borderId="0" applyFill="0" applyBorder="0" applyAlignment="0"/>
    <xf numFmtId="213" fontId="6" fillId="0" borderId="0" applyFill="0" applyBorder="0" applyAlignment="0"/>
    <xf numFmtId="213" fontId="6" fillId="0" borderId="0" applyFill="0" applyBorder="0" applyAlignment="0"/>
    <xf numFmtId="214" fontId="125" fillId="0" borderId="3">
      <alignment horizontal="center"/>
    </xf>
    <xf numFmtId="214" fontId="125" fillId="0" borderId="3">
      <alignment horizontal="center"/>
    </xf>
    <xf numFmtId="0" fontId="58" fillId="0" borderId="0"/>
    <xf numFmtId="0" fontId="133" fillId="0" borderId="25"/>
    <xf numFmtId="0" fontId="128" fillId="0" borderId="0" applyNumberFormat="0" applyFill="0" applyBorder="0" applyAlignment="0" applyProtection="0"/>
    <xf numFmtId="40" fontId="14" fillId="0" borderId="0"/>
    <xf numFmtId="0" fontId="134" fillId="0" borderId="0" applyNumberFormat="0" applyFill="0" applyBorder="0" applyAlignment="0" applyProtection="0"/>
    <xf numFmtId="0" fontId="6" fillId="0" borderId="26" applyNumberFormat="0" applyFont="0" applyFill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9" fontId="38" fillId="0" borderId="0" applyFont="0" applyFill="0" applyBorder="0" applyAlignment="0" applyProtection="0"/>
    <xf numFmtId="21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135" fillId="33" borderId="27" applyNumberFormat="0" applyAlignment="0" applyProtection="0"/>
    <xf numFmtId="216" fontId="125" fillId="0" borderId="0"/>
    <xf numFmtId="216" fontId="125" fillId="0" borderId="0"/>
    <xf numFmtId="217" fontId="125" fillId="0" borderId="2"/>
    <xf numFmtId="217" fontId="125" fillId="0" borderId="2"/>
    <xf numFmtId="0" fontId="136" fillId="0" borderId="0"/>
    <xf numFmtId="0" fontId="136" fillId="0" borderId="0"/>
    <xf numFmtId="202" fontId="137" fillId="34" borderId="1">
      <alignment vertical="top"/>
    </xf>
    <xf numFmtId="0" fontId="138" fillId="35" borderId="2">
      <alignment horizontal="left" vertical="center"/>
    </xf>
    <xf numFmtId="218" fontId="139" fillId="36" borderId="1"/>
    <xf numFmtId="202" fontId="113" fillId="0" borderId="1">
      <alignment horizontal="left" vertical="top"/>
    </xf>
    <xf numFmtId="0" fontId="140" fillId="37" borderId="0">
      <alignment horizontal="left" vertical="center"/>
    </xf>
    <xf numFmtId="202" fontId="141" fillId="0" borderId="5">
      <alignment horizontal="left" vertical="top"/>
    </xf>
    <xf numFmtId="0" fontId="142" fillId="0" borderId="5">
      <alignment horizontal="left" vertical="center"/>
    </xf>
    <xf numFmtId="0" fontId="143" fillId="0" borderId="0" applyNumberFormat="0" applyFill="0" applyBorder="0" applyProtection="0">
      <alignment horizontal="right"/>
    </xf>
    <xf numFmtId="219" fontId="6" fillId="0" borderId="0" applyFont="0" applyFill="0" applyBorder="0" applyAlignment="0" applyProtection="0"/>
    <xf numFmtId="220" fontId="6" fillId="0" borderId="0" applyFont="0" applyFill="0" applyBorder="0" applyAlignment="0" applyProtection="0"/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215" fontId="146" fillId="0" borderId="0" applyFont="0" applyFill="0" applyBorder="0" applyAlignment="0" applyProtection="0"/>
    <xf numFmtId="192" fontId="146" fillId="0" borderId="0" applyFont="0" applyFill="0" applyBorder="0" applyAlignment="0" applyProtection="0"/>
    <xf numFmtId="0" fontId="146" fillId="0" borderId="0"/>
    <xf numFmtId="0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5" fillId="0" borderId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9" fillId="27" borderId="14" applyNumberFormat="0" applyAlignment="0" applyProtection="0">
      <alignment vertical="center"/>
    </xf>
    <xf numFmtId="0" fontId="38" fillId="0" borderId="0">
      <protection locked="0"/>
    </xf>
    <xf numFmtId="0" fontId="150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10" borderId="0" applyNumberFormat="0" applyBorder="0" applyAlignment="0" applyProtection="0">
      <alignment vertical="center"/>
    </xf>
    <xf numFmtId="0" fontId="96" fillId="0" borderId="0">
      <protection locked="0"/>
    </xf>
    <xf numFmtId="0" fontId="96" fillId="0" borderId="0"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40" fontId="126" fillId="0" borderId="0" applyFont="0" applyFill="0" applyBorder="0" applyAlignment="0" applyProtection="0"/>
    <xf numFmtId="38" fontId="126" fillId="0" borderId="0" applyFont="0" applyFill="0" applyBorder="0" applyAlignment="0" applyProtection="0"/>
    <xf numFmtId="0" fontId="6" fillId="31" borderId="23" applyNumberFormat="0" applyFont="0" applyAlignment="0" applyProtection="0">
      <alignment vertical="center"/>
    </xf>
    <xf numFmtId="0" fontId="126" fillId="0" borderId="0" applyFont="0" applyFill="0" applyBorder="0" applyAlignment="0" applyProtection="0"/>
    <xf numFmtId="0" fontId="126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201" fontId="155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9" fontId="156" fillId="0" borderId="0" applyFont="0" applyFill="0" applyBorder="0" applyAlignment="0" applyProtection="0"/>
    <xf numFmtId="0" fontId="157" fillId="30" borderId="0" applyNumberFormat="0" applyBorder="0" applyAlignment="0" applyProtection="0">
      <alignment vertical="center"/>
    </xf>
    <xf numFmtId="0" fontId="158" fillId="0" borderId="0"/>
    <xf numFmtId="0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9" fillId="0" borderId="0" applyNumberFormat="0" applyFill="0" applyBorder="0" applyAlignment="0" applyProtection="0">
      <alignment vertical="center"/>
    </xf>
    <xf numFmtId="0" fontId="160" fillId="28" borderId="15" applyNumberFormat="0" applyAlignment="0" applyProtection="0">
      <alignment vertical="center"/>
    </xf>
    <xf numFmtId="165" fontId="38" fillId="0" borderId="0" applyFont="0" applyFill="0" applyBorder="0" applyAlignment="0" applyProtection="0">
      <alignment vertical="center"/>
    </xf>
    <xf numFmtId="202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2" fontId="38" fillId="0" borderId="0" applyFont="0" applyFill="0" applyBorder="0" applyAlignment="0" applyProtection="0"/>
    <xf numFmtId="223" fontId="6" fillId="0" borderId="0" applyFont="0" applyFill="0" applyBorder="0" applyAlignment="0" applyProtection="0"/>
    <xf numFmtId="0" fontId="161" fillId="0" borderId="21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3" fillId="14" borderId="14" applyNumberFormat="0" applyAlignment="0" applyProtection="0">
      <alignment vertical="center"/>
    </xf>
    <xf numFmtId="4" fontId="96" fillId="0" borderId="0">
      <protection locked="0"/>
    </xf>
    <xf numFmtId="0" fontId="38" fillId="0" borderId="0">
      <protection locked="0"/>
    </xf>
    <xf numFmtId="0" fontId="164" fillId="0" borderId="0" applyNumberFormat="0" applyFill="0" applyBorder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6" fillId="0" borderId="30" applyNumberFormat="0" applyFill="0" applyAlignment="0" applyProtection="0">
      <alignment vertical="center"/>
    </xf>
    <xf numFmtId="0" fontId="167" fillId="0" borderId="20" applyNumberFormat="0" applyFill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22" fillId="0" borderId="0"/>
    <xf numFmtId="0" fontId="169" fillId="27" borderId="24" applyNumberFormat="0" applyAlignment="0" applyProtection="0">
      <alignment vertical="center"/>
    </xf>
    <xf numFmtId="201" fontId="155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01" fontId="155" fillId="0" borderId="0">
      <protection locked="0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5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201" fontId="155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01" fontId="155" fillId="0" borderId="0">
      <protection locked="0"/>
    </xf>
    <xf numFmtId="224" fontId="22" fillId="0" borderId="0" applyFont="0" applyFill="0" applyBorder="0" applyAlignment="0" applyProtection="0"/>
    <xf numFmtId="22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8" fillId="0" borderId="0">
      <protection locked="0"/>
    </xf>
    <xf numFmtId="201" fontId="155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221" fontId="38" fillId="0" borderId="0">
      <protection locked="0"/>
    </xf>
    <xf numFmtId="0" fontId="38" fillId="0" borderId="0">
      <alignment vertical="center"/>
    </xf>
    <xf numFmtId="0" fontId="170" fillId="0" borderId="0">
      <alignment vertical="center"/>
    </xf>
    <xf numFmtId="0" fontId="38" fillId="0" borderId="0">
      <alignment vertical="center"/>
    </xf>
    <xf numFmtId="0" fontId="42" fillId="0" borderId="0"/>
    <xf numFmtId="0" fontId="171" fillId="0" borderId="0"/>
    <xf numFmtId="0" fontId="96" fillId="0" borderId="26">
      <protection locked="0"/>
    </xf>
    <xf numFmtId="0" fontId="9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/>
    <xf numFmtId="0" fontId="173" fillId="30" borderId="0" applyNumberFormat="0" applyBorder="0" applyAlignment="0" applyProtection="0">
      <alignment vertical="center"/>
    </xf>
    <xf numFmtId="0" fontId="6" fillId="31" borderId="23" applyNumberFormat="0" applyFont="0" applyAlignment="0" applyProtection="0">
      <alignment vertical="center"/>
    </xf>
    <xf numFmtId="165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0" fontId="174" fillId="0" borderId="28" applyNumberFormat="0" applyFill="0" applyAlignment="0" applyProtection="0">
      <alignment vertical="center"/>
    </xf>
    <xf numFmtId="0" fontId="175" fillId="10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8" fillId="38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9" fillId="10" borderId="0" applyNumberFormat="0" applyBorder="0" applyAlignment="0" applyProtection="0">
      <alignment vertical="center"/>
    </xf>
    <xf numFmtId="0" fontId="180" fillId="39" borderId="0" applyNumberFormat="0" applyBorder="0" applyAlignment="0" applyProtection="0">
      <alignment vertical="center"/>
    </xf>
    <xf numFmtId="0" fontId="35" fillId="0" borderId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2" fillId="0" borderId="29" applyNumberFormat="0" applyFill="0" applyAlignment="0" applyProtection="0">
      <alignment vertical="center"/>
    </xf>
    <xf numFmtId="0" fontId="183" fillId="0" borderId="30" applyNumberFormat="0" applyFill="0" applyAlignment="0" applyProtection="0">
      <alignment vertical="center"/>
    </xf>
    <xf numFmtId="0" fontId="184" fillId="0" borderId="20" applyNumberFormat="0" applyFill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35" fillId="0" borderId="0"/>
    <xf numFmtId="40" fontId="186" fillId="0" borderId="0" applyFont="0" applyFill="0" applyBorder="0" applyAlignment="0" applyProtection="0"/>
    <xf numFmtId="38" fontId="186" fillId="0" borderId="0" applyFont="0" applyFill="0" applyBorder="0" applyAlignment="0" applyProtection="0"/>
    <xf numFmtId="0" fontId="187" fillId="28" borderId="15" applyNumberFormat="0" applyAlignment="0" applyProtection="0">
      <alignment vertical="center"/>
    </xf>
    <xf numFmtId="0" fontId="186" fillId="0" borderId="0"/>
    <xf numFmtId="0" fontId="188" fillId="0" borderId="0" applyNumberFormat="0" applyFill="0" applyBorder="0" applyAlignment="0" applyProtection="0">
      <alignment vertical="center"/>
    </xf>
    <xf numFmtId="0" fontId="189" fillId="0" borderId="29" applyNumberFormat="0" applyFill="0" applyAlignment="0" applyProtection="0">
      <alignment vertical="center"/>
    </xf>
    <xf numFmtId="0" fontId="190" fillId="0" borderId="30" applyNumberFormat="0" applyFill="0" applyAlignment="0" applyProtection="0">
      <alignment vertical="center"/>
    </xf>
    <xf numFmtId="0" fontId="191" fillId="0" borderId="20" applyNumberFormat="0" applyFill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2" fillId="28" borderId="15" applyNumberFormat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35" fillId="31" borderId="23" applyNumberFormat="0" applyFont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5" fillId="27" borderId="14" applyNumberFormat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7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9" fillId="27" borderId="14" applyNumberFormat="0" applyAlignment="0" applyProtection="0">
      <alignment vertical="center"/>
    </xf>
    <xf numFmtId="226" fontId="29" fillId="0" borderId="0" applyFont="0" applyFill="0" applyBorder="0" applyAlignment="0" applyProtection="0"/>
    <xf numFmtId="227" fontId="31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00" fillId="0" borderId="0" applyNumberFormat="0" applyFill="0" applyBorder="0" applyAlignment="0" applyProtection="0">
      <alignment vertical="top"/>
      <protection locked="0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201" fillId="14" borderId="14" applyNumberFormat="0" applyAlignment="0" applyProtection="0">
      <alignment vertical="center"/>
    </xf>
    <xf numFmtId="0" fontId="202" fillId="27" borderId="24" applyNumberFormat="0" applyAlignment="0" applyProtection="0">
      <alignment vertical="center"/>
    </xf>
    <xf numFmtId="0" fontId="203" fillId="14" borderId="14" applyNumberFormat="0" applyAlignment="0" applyProtection="0">
      <alignment vertical="center"/>
    </xf>
    <xf numFmtId="0" fontId="204" fillId="27" borderId="24" applyNumberFormat="0" applyAlignment="0" applyProtection="0">
      <alignment vertical="center"/>
    </xf>
    <xf numFmtId="0" fontId="205" fillId="30" borderId="0" applyNumberFormat="0" applyBorder="0" applyAlignment="0" applyProtection="0">
      <alignment vertical="center"/>
    </xf>
    <xf numFmtId="180" fontId="186" fillId="0" borderId="0" applyFont="0" applyFill="0" applyBorder="0" applyAlignment="0" applyProtection="0"/>
    <xf numFmtId="229" fontId="186" fillId="0" borderId="0" applyFont="0" applyFill="0" applyBorder="0" applyAlignment="0" applyProtection="0"/>
    <xf numFmtId="0" fontId="206" fillId="0" borderId="21" applyNumberFormat="0" applyFill="0" applyAlignment="0" applyProtection="0">
      <alignment vertical="center"/>
    </xf>
    <xf numFmtId="0" fontId="207" fillId="0" borderId="21" applyNumberFormat="0" applyFill="0" applyAlignment="0" applyProtection="0">
      <alignment vertical="center"/>
    </xf>
    <xf numFmtId="0" fontId="208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6" fillId="0" borderId="0"/>
    <xf numFmtId="0" fontId="6" fillId="0" borderId="0"/>
    <xf numFmtId="43" fontId="1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6" fillId="0" borderId="0"/>
    <xf numFmtId="0" fontId="38" fillId="0" borderId="0">
      <alignment vertical="center"/>
    </xf>
    <xf numFmtId="230" fontId="19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0" fontId="18" fillId="0" borderId="0"/>
    <xf numFmtId="43" fontId="15" fillId="0" borderId="0" applyFont="0" applyFill="0" applyBorder="0" applyAlignment="0" applyProtection="0"/>
    <xf numFmtId="0" fontId="15" fillId="0" borderId="0"/>
    <xf numFmtId="165" fontId="19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0" fontId="125" fillId="0" borderId="0"/>
    <xf numFmtId="164" fontId="2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14" fillId="0" borderId="0"/>
    <xf numFmtId="0" fontId="215" fillId="0" borderId="0"/>
    <xf numFmtId="0" fontId="6" fillId="0" borderId="0">
      <alignment vertical="center"/>
    </xf>
    <xf numFmtId="0" fontId="216" fillId="0" borderId="0"/>
    <xf numFmtId="0" fontId="15" fillId="0" borderId="0"/>
    <xf numFmtId="0" fontId="217" fillId="0" borderId="0"/>
    <xf numFmtId="0" fontId="218" fillId="0" borderId="0"/>
    <xf numFmtId="0" fontId="15" fillId="0" borderId="0"/>
    <xf numFmtId="43" fontId="20" fillId="0" borderId="0" applyFont="0" applyFill="0" applyBorder="0" applyAlignment="0" applyProtection="0"/>
    <xf numFmtId="0" fontId="6" fillId="0" borderId="0"/>
  </cellStyleXfs>
  <cellXfs count="18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0" xfId="0" applyFont="1"/>
    <xf numFmtId="0" fontId="210" fillId="2" borderId="35" xfId="2109" applyFont="1" applyFill="1" applyBorder="1" applyAlignment="1">
      <alignment horizontal="left" vertical="center"/>
    </xf>
    <xf numFmtId="0" fontId="210" fillId="2" borderId="35" xfId="2109" applyFont="1" applyFill="1" applyBorder="1" applyAlignment="1">
      <alignment horizontal="center" vertical="center"/>
    </xf>
    <xf numFmtId="170" fontId="10" fillId="0" borderId="35" xfId="29" applyNumberFormat="1" applyFont="1" applyBorder="1" applyAlignment="1">
      <alignment horizontal="center" vertical="center" wrapText="1"/>
    </xf>
    <xf numFmtId="0" fontId="210" fillId="2" borderId="31" xfId="2109" applyFont="1" applyFill="1" applyBorder="1" applyAlignment="1">
      <alignment horizontal="left" vertical="center"/>
    </xf>
    <xf numFmtId="0" fontId="210" fillId="2" borderId="31" xfId="2109" applyFont="1" applyFill="1" applyBorder="1" applyAlignment="1">
      <alignment horizontal="center" vertical="center"/>
    </xf>
    <xf numFmtId="170" fontId="10" fillId="0" borderId="31" xfId="29" applyNumberFormat="1" applyFont="1" applyBorder="1" applyAlignment="1">
      <alignment horizontal="center" vertical="center" wrapText="1"/>
    </xf>
    <xf numFmtId="0" fontId="210" fillId="2" borderId="36" xfId="2109" applyFont="1" applyFill="1" applyBorder="1" applyAlignment="1">
      <alignment horizontal="left" vertical="center"/>
    </xf>
    <xf numFmtId="170" fontId="10" fillId="0" borderId="36" xfId="29" applyNumberFormat="1" applyFont="1" applyBorder="1" applyAlignment="1">
      <alignment horizontal="center" vertical="center" wrapText="1"/>
    </xf>
    <xf numFmtId="170" fontId="11" fillId="0" borderId="34" xfId="29" applyNumberFormat="1" applyFont="1" applyBorder="1" applyAlignment="1">
      <alignment horizontal="center" vertical="center" wrapText="1"/>
    </xf>
    <xf numFmtId="0" fontId="210" fillId="2" borderId="8" xfId="2109" applyFont="1" applyFill="1" applyBorder="1" applyAlignment="1">
      <alignment horizontal="left" vertical="center"/>
    </xf>
    <xf numFmtId="0" fontId="210" fillId="6" borderId="8" xfId="0" applyFont="1" applyFill="1" applyBorder="1" applyAlignment="1">
      <alignment horizontal="center" vertical="center" wrapText="1"/>
    </xf>
    <xf numFmtId="170" fontId="10" fillId="0" borderId="8" xfId="29" applyNumberFormat="1" applyFont="1" applyBorder="1" applyAlignment="1">
      <alignment horizontal="center" vertical="center" wrapText="1"/>
    </xf>
    <xf numFmtId="0" fontId="210" fillId="6" borderId="31" xfId="0" applyFont="1" applyFill="1" applyBorder="1" applyAlignment="1">
      <alignment horizontal="center" vertical="center" wrapText="1"/>
    </xf>
    <xf numFmtId="0" fontId="210" fillId="2" borderId="32" xfId="2109" applyFont="1" applyFill="1" applyBorder="1" applyAlignment="1">
      <alignment horizontal="left" vertical="center"/>
    </xf>
    <xf numFmtId="0" fontId="210" fillId="6" borderId="32" xfId="0" applyFont="1" applyFill="1" applyBorder="1" applyAlignment="1">
      <alignment horizontal="center" vertical="center" wrapText="1"/>
    </xf>
    <xf numFmtId="170" fontId="10" fillId="0" borderId="32" xfId="29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168" fontId="10" fillId="0" borderId="0" xfId="29" applyNumberFormat="1" applyFont="1" applyAlignment="1">
      <alignment horizontal="center" vertical="center"/>
    </xf>
    <xf numFmtId="168" fontId="10" fillId="0" borderId="0" xfId="29" applyNumberFormat="1" applyFont="1" applyAlignment="1">
      <alignment horizontal="center"/>
    </xf>
    <xf numFmtId="0" fontId="210" fillId="0" borderId="0" xfId="6" applyFont="1"/>
    <xf numFmtId="0" fontId="209" fillId="2" borderId="0" xfId="6" applyFont="1" applyFill="1"/>
    <xf numFmtId="0" fontId="210" fillId="0" borderId="34" xfId="6" applyFont="1" applyBorder="1" applyAlignment="1">
      <alignment horizontal="center" vertical="center"/>
    </xf>
    <xf numFmtId="0" fontId="213" fillId="6" borderId="34" xfId="6" applyFont="1" applyFill="1" applyBorder="1" applyAlignment="1">
      <alignment horizontal="left" vertical="center"/>
    </xf>
    <xf numFmtId="170" fontId="210" fillId="0" borderId="34" xfId="734" applyNumberFormat="1" applyFont="1" applyBorder="1" applyAlignment="1">
      <alignment horizontal="center" vertical="center"/>
    </xf>
    <xf numFmtId="170" fontId="209" fillId="0" borderId="40" xfId="734" applyNumberFormat="1" applyFont="1" applyBorder="1" applyAlignment="1">
      <alignment horizontal="center" vertical="center"/>
    </xf>
    <xf numFmtId="170" fontId="209" fillId="0" borderId="34" xfId="734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1" fillId="40" borderId="41" xfId="0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1" fillId="40" borderId="41" xfId="0" applyFont="1" applyFill="1" applyBorder="1" applyAlignment="1">
      <alignment horizontal="center" vertical="center" wrapText="1"/>
    </xf>
    <xf numFmtId="168" fontId="3" fillId="0" borderId="0" xfId="29" applyNumberFormat="1" applyFont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3" fontId="10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1" fillId="41" borderId="42" xfId="0" applyNumberFormat="1" applyFont="1" applyFill="1" applyBorder="1" applyAlignment="1">
      <alignment horizontal="center" vertical="center" wrapText="1"/>
    </xf>
    <xf numFmtId="49" fontId="3" fillId="5" borderId="42" xfId="0" applyNumberFormat="1" applyFont="1" applyFill="1" applyBorder="1" applyAlignment="1">
      <alignment horizontal="center" vertical="center" wrapText="1"/>
    </xf>
    <xf numFmtId="0" fontId="1" fillId="44" borderId="41" xfId="5" applyNumberFormat="1" applyFont="1" applyFill="1" applyBorder="1" applyAlignment="1">
      <alignment horizontal="center" vertical="center"/>
    </xf>
    <xf numFmtId="0" fontId="1" fillId="3" borderId="42" xfId="5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2" fontId="2" fillId="2" borderId="0" xfId="0" applyNumberFormat="1" applyFont="1" applyFill="1" applyAlignment="1">
      <alignment horizontal="center" vertical="center"/>
    </xf>
    <xf numFmtId="168" fontId="226" fillId="45" borderId="6" xfId="0" applyNumberFormat="1" applyFont="1" applyFill="1" applyBorder="1" applyAlignment="1">
      <alignment horizontal="center" vertical="center"/>
    </xf>
    <xf numFmtId="231" fontId="226" fillId="45" borderId="6" xfId="0" applyNumberFormat="1" applyFont="1" applyFill="1" applyBorder="1" applyAlignment="1">
      <alignment horizontal="center" vertical="center"/>
    </xf>
    <xf numFmtId="0" fontId="3" fillId="45" borderId="9" xfId="0" applyFont="1" applyFill="1" applyBorder="1" applyAlignment="1">
      <alignment horizontal="center" vertical="center"/>
    </xf>
    <xf numFmtId="0" fontId="3" fillId="45" borderId="9" xfId="0" applyFont="1" applyFill="1" applyBorder="1" applyAlignment="1">
      <alignment vertical="center"/>
    </xf>
    <xf numFmtId="0" fontId="2" fillId="45" borderId="0" xfId="0" applyFont="1" applyFill="1" applyAlignment="1">
      <alignment horizontal="center" vertical="center"/>
    </xf>
    <xf numFmtId="0" fontId="2" fillId="0" borderId="41" xfId="0" applyFont="1" applyBorder="1" applyAlignment="1">
      <alignment horizontal="left" vertical="center" wrapText="1"/>
    </xf>
    <xf numFmtId="0" fontId="1" fillId="41" borderId="41" xfId="5" applyNumberFormat="1" applyFont="1" applyFill="1" applyBorder="1" applyAlignment="1">
      <alignment horizontal="center" vertical="center"/>
    </xf>
    <xf numFmtId="0" fontId="1" fillId="41" borderId="41" xfId="5" applyNumberFormat="1" applyFont="1" applyFill="1" applyBorder="1" applyAlignment="1">
      <alignment vertical="center"/>
    </xf>
    <xf numFmtId="0" fontId="3" fillId="5" borderId="42" xfId="0" applyFont="1" applyFill="1" applyBorder="1" applyAlignment="1">
      <alignment horizontal="center" vertical="center" wrapText="1"/>
    </xf>
    <xf numFmtId="0" fontId="1" fillId="5" borderId="6" xfId="5" applyNumberFormat="1" applyFont="1" applyFill="1" applyBorder="1" applyAlignment="1">
      <alignment vertical="center" wrapText="1"/>
    </xf>
    <xf numFmtId="0" fontId="225" fillId="46" borderId="41" xfId="833" applyFont="1" applyFill="1" applyBorder="1" applyAlignment="1">
      <alignment horizontal="center" vertical="center"/>
    </xf>
    <xf numFmtId="0" fontId="225" fillId="46" borderId="41" xfId="0" applyFont="1" applyFill="1" applyBorder="1" applyAlignment="1">
      <alignment horizontal="center" vertical="center"/>
    </xf>
    <xf numFmtId="167" fontId="226" fillId="45" borderId="6" xfId="0" applyNumberFormat="1" applyFont="1" applyFill="1" applyBorder="1" applyAlignment="1">
      <alignment horizontal="center" vertical="center"/>
    </xf>
    <xf numFmtId="167" fontId="9" fillId="2" borderId="0" xfId="0" applyNumberFormat="1" applyFont="1" applyFill="1" applyAlignment="1">
      <alignment vertical="center"/>
    </xf>
    <xf numFmtId="167" fontId="9" fillId="2" borderId="7" xfId="0" applyNumberFormat="1" applyFont="1" applyFill="1" applyBorder="1" applyAlignment="1">
      <alignment vertical="center" wrapText="1"/>
    </xf>
    <xf numFmtId="167" fontId="227" fillId="2" borderId="7" xfId="0" applyNumberFormat="1" applyFont="1" applyFill="1" applyBorder="1" applyAlignment="1">
      <alignment vertical="center" wrapText="1"/>
    </xf>
    <xf numFmtId="0" fontId="2" fillId="0" borderId="41" xfId="0" applyFont="1" applyBorder="1" applyAlignment="1">
      <alignment horizontal="center" vertical="center" wrapText="1"/>
    </xf>
    <xf numFmtId="0" fontId="10" fillId="4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47" borderId="0" xfId="0" applyFont="1" applyFill="1" applyAlignment="1">
      <alignment horizontal="center" vertical="center" wrapText="1"/>
    </xf>
    <xf numFmtId="43" fontId="2" fillId="0" borderId="0" xfId="0" applyNumberFormat="1" applyFont="1" applyAlignment="1">
      <alignment horizontal="center" vertical="center"/>
    </xf>
    <xf numFmtId="0" fontId="2" fillId="0" borderId="41" xfId="0" quotePrefix="1" applyFont="1" applyBorder="1" applyAlignment="1">
      <alignment horizontal="center" vertical="center"/>
    </xf>
    <xf numFmtId="0" fontId="2" fillId="0" borderId="41" xfId="0" quotePrefix="1" applyFont="1" applyBorder="1" applyAlignment="1">
      <alignment horizontal="left" vertical="center"/>
    </xf>
    <xf numFmtId="169" fontId="5" fillId="0" borderId="41" xfId="7" applyNumberFormat="1" applyFont="1" applyFill="1" applyBorder="1" applyAlignment="1">
      <alignment horizontal="center" vertical="center"/>
    </xf>
    <xf numFmtId="2" fontId="2" fillId="0" borderId="41" xfId="0" applyNumberFormat="1" applyFont="1" applyBorder="1" applyAlignment="1">
      <alignment horizontal="center" vertical="center"/>
    </xf>
    <xf numFmtId="167" fontId="228" fillId="2" borderId="0" xfId="0" applyNumberFormat="1" applyFont="1" applyFill="1" applyAlignment="1">
      <alignment horizontal="center" vertical="center"/>
    </xf>
    <xf numFmtId="167" fontId="228" fillId="2" borderId="7" xfId="0" applyNumberFormat="1" applyFont="1" applyFill="1" applyBorder="1" applyAlignment="1">
      <alignment horizontal="center" vertical="center"/>
    </xf>
    <xf numFmtId="43" fontId="1" fillId="3" borderId="42" xfId="5" applyFont="1" applyFill="1" applyBorder="1" applyAlignment="1">
      <alignment horizontal="center" vertical="center" wrapText="1"/>
    </xf>
    <xf numFmtId="43" fontId="1" fillId="3" borderId="6" xfId="5" applyFont="1" applyFill="1" applyBorder="1" applyAlignment="1">
      <alignment horizontal="center" vertical="center" wrapText="1"/>
    </xf>
    <xf numFmtId="2" fontId="1" fillId="3" borderId="42" xfId="5" applyNumberFormat="1" applyFont="1" applyFill="1" applyBorder="1" applyAlignment="1">
      <alignment horizontal="center" vertical="center" wrapText="1"/>
    </xf>
    <xf numFmtId="2" fontId="1" fillId="3" borderId="6" xfId="5" applyNumberFormat="1" applyFont="1" applyFill="1" applyBorder="1" applyAlignment="1">
      <alignment horizontal="center" vertical="center" wrapText="1"/>
    </xf>
    <xf numFmtId="43" fontId="1" fillId="3" borderId="49" xfId="5" applyFont="1" applyFill="1" applyBorder="1" applyAlignment="1">
      <alignment horizontal="center" vertical="center" wrapText="1"/>
    </xf>
    <xf numFmtId="43" fontId="1" fillId="3" borderId="48" xfId="5" applyFont="1" applyFill="1" applyBorder="1" applyAlignment="1">
      <alignment horizontal="center" vertical="center" wrapText="1"/>
    </xf>
    <xf numFmtId="43" fontId="1" fillId="3" borderId="50" xfId="5" applyFont="1" applyFill="1" applyBorder="1" applyAlignment="1">
      <alignment horizontal="center" vertical="center" wrapText="1"/>
    </xf>
    <xf numFmtId="43" fontId="1" fillId="3" borderId="10" xfId="5" applyFont="1" applyFill="1" applyBorder="1" applyAlignment="1">
      <alignment horizontal="center" vertical="center" wrapText="1"/>
    </xf>
    <xf numFmtId="43" fontId="1" fillId="3" borderId="7" xfId="5" applyFont="1" applyFill="1" applyBorder="1" applyAlignment="1">
      <alignment horizontal="center" vertical="center" wrapText="1"/>
    </xf>
    <xf numFmtId="43" fontId="1" fillId="3" borderId="9" xfId="5" applyFont="1" applyFill="1" applyBorder="1" applyAlignment="1">
      <alignment horizontal="center" vertical="center" wrapText="1"/>
    </xf>
    <xf numFmtId="0" fontId="1" fillId="44" borderId="42" xfId="5" applyNumberFormat="1" applyFont="1" applyFill="1" applyBorder="1" applyAlignment="1">
      <alignment horizontal="center" vertical="center" wrapText="1"/>
    </xf>
    <xf numFmtId="0" fontId="1" fillId="44" borderId="5" xfId="5" applyNumberFormat="1" applyFont="1" applyFill="1" applyBorder="1" applyAlignment="1">
      <alignment horizontal="center" vertical="center" wrapText="1"/>
    </xf>
    <xf numFmtId="0" fontId="1" fillId="44" borderId="6" xfId="5" applyNumberFormat="1" applyFont="1" applyFill="1" applyBorder="1" applyAlignment="1">
      <alignment horizontal="center" vertical="center" wrapText="1"/>
    </xf>
    <xf numFmtId="0" fontId="209" fillId="2" borderId="41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41" xfId="4" applyFont="1" applyBorder="1" applyAlignment="1">
      <alignment horizontal="center" vertical="center"/>
    </xf>
    <xf numFmtId="0" fontId="1" fillId="0" borderId="42" xfId="4" applyFont="1" applyBorder="1" applyAlignment="1">
      <alignment horizontal="center" vertical="center"/>
    </xf>
    <xf numFmtId="0" fontId="1" fillId="2" borderId="41" xfId="4" applyFont="1" applyFill="1" applyBorder="1" applyAlignment="1">
      <alignment horizontal="center" vertical="center"/>
    </xf>
    <xf numFmtId="0" fontId="1" fillId="2" borderId="42" xfId="4" applyFont="1" applyFill="1" applyBorder="1" applyAlignment="1">
      <alignment horizontal="center" vertical="center"/>
    </xf>
    <xf numFmtId="168" fontId="1" fillId="0" borderId="41" xfId="5" applyNumberFormat="1" applyFont="1" applyFill="1" applyBorder="1" applyAlignment="1">
      <alignment horizontal="center" vertical="center" wrapText="1"/>
    </xf>
    <xf numFmtId="168" fontId="1" fillId="0" borderId="42" xfId="5" applyNumberFormat="1" applyFont="1" applyFill="1" applyBorder="1" applyAlignment="1">
      <alignment horizontal="center" vertical="center" wrapText="1"/>
    </xf>
    <xf numFmtId="0" fontId="1" fillId="2" borderId="41" xfId="5" applyNumberFormat="1" applyFont="1" applyFill="1" applyBorder="1" applyAlignment="1">
      <alignment horizontal="center" vertical="center" wrapText="1"/>
    </xf>
    <xf numFmtId="0" fontId="1" fillId="2" borderId="42" xfId="5" applyNumberFormat="1" applyFont="1" applyFill="1" applyBorder="1" applyAlignment="1">
      <alignment horizontal="center" vertical="center" wrapText="1"/>
    </xf>
    <xf numFmtId="0" fontId="1" fillId="0" borderId="41" xfId="4" applyFont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3" borderId="43" xfId="5" applyNumberFormat="1" applyFont="1" applyFill="1" applyBorder="1" applyAlignment="1">
      <alignment horizontal="center" vertical="center"/>
    </xf>
    <xf numFmtId="0" fontId="1" fillId="3" borderId="44" xfId="5" applyNumberFormat="1" applyFont="1" applyFill="1" applyBorder="1" applyAlignment="1">
      <alignment horizontal="center" vertical="center"/>
    </xf>
    <xf numFmtId="0" fontId="1" fillId="3" borderId="45" xfId="5" applyNumberFormat="1" applyFont="1" applyFill="1" applyBorder="1" applyAlignment="1">
      <alignment horizontal="center" vertical="center"/>
    </xf>
    <xf numFmtId="0" fontId="1" fillId="3" borderId="33" xfId="5" applyNumberFormat="1" applyFont="1" applyFill="1" applyBorder="1" applyAlignment="1">
      <alignment horizontal="center" vertical="center"/>
    </xf>
    <xf numFmtId="0" fontId="1" fillId="3" borderId="12" xfId="5" applyNumberFormat="1" applyFont="1" applyFill="1" applyBorder="1" applyAlignment="1">
      <alignment horizontal="center" vertical="center"/>
    </xf>
    <xf numFmtId="0" fontId="1" fillId="3" borderId="10" xfId="5" applyNumberFormat="1" applyFont="1" applyFill="1" applyBorder="1" applyAlignment="1">
      <alignment horizontal="center" vertical="center"/>
    </xf>
    <xf numFmtId="0" fontId="1" fillId="3" borderId="9" xfId="5" applyNumberFormat="1" applyFont="1" applyFill="1" applyBorder="1" applyAlignment="1">
      <alignment horizontal="center" vertical="center"/>
    </xf>
    <xf numFmtId="0" fontId="1" fillId="3" borderId="0" xfId="5" applyNumberFormat="1" applyFont="1" applyFill="1" applyBorder="1" applyAlignment="1">
      <alignment horizontal="center" vertical="center"/>
    </xf>
    <xf numFmtId="0" fontId="1" fillId="5" borderId="42" xfId="5" applyNumberFormat="1" applyFont="1" applyFill="1" applyBorder="1" applyAlignment="1">
      <alignment horizontal="center" vertical="center" wrapText="1"/>
    </xf>
    <xf numFmtId="0" fontId="1" fillId="5" borderId="5" xfId="5" applyNumberFormat="1" applyFont="1" applyFill="1" applyBorder="1" applyAlignment="1">
      <alignment horizontal="center" vertical="center" wrapText="1"/>
    </xf>
    <xf numFmtId="0" fontId="1" fillId="5" borderId="6" xfId="5" applyNumberFormat="1" applyFont="1" applyFill="1" applyBorder="1" applyAlignment="1">
      <alignment horizontal="center" vertical="center" wrapText="1"/>
    </xf>
    <xf numFmtId="167" fontId="9" fillId="2" borderId="42" xfId="0" applyNumberFormat="1" applyFont="1" applyFill="1" applyBorder="1" applyAlignment="1">
      <alignment horizontal="center" vertical="center"/>
    </xf>
    <xf numFmtId="167" fontId="9" fillId="2" borderId="6" xfId="0" applyNumberFormat="1" applyFont="1" applyFill="1" applyBorder="1" applyAlignment="1">
      <alignment horizontal="center" vertical="center"/>
    </xf>
    <xf numFmtId="0" fontId="226" fillId="45" borderId="43" xfId="0" applyFont="1" applyFill="1" applyBorder="1" applyAlignment="1">
      <alignment horizontal="center" vertical="center"/>
    </xf>
    <xf numFmtId="0" fontId="226" fillId="45" borderId="44" xfId="0" applyFont="1" applyFill="1" applyBorder="1" applyAlignment="1">
      <alignment horizontal="center" vertical="center"/>
    </xf>
    <xf numFmtId="0" fontId="226" fillId="45" borderId="45" xfId="0" applyFont="1" applyFill="1" applyBorder="1" applyAlignment="1">
      <alignment horizontal="center" vertical="center"/>
    </xf>
    <xf numFmtId="0" fontId="3" fillId="45" borderId="43" xfId="0" applyFont="1" applyFill="1" applyBorder="1" applyAlignment="1">
      <alignment horizontal="center" vertical="center"/>
    </xf>
    <xf numFmtId="0" fontId="3" fillId="45" borderId="44" xfId="0" applyFont="1" applyFill="1" applyBorder="1" applyAlignment="1">
      <alignment horizontal="center" vertical="center"/>
    </xf>
    <xf numFmtId="0" fontId="3" fillId="45" borderId="45" xfId="0" applyFont="1" applyFill="1" applyBorder="1" applyAlignment="1">
      <alignment horizontal="center" vertical="center"/>
    </xf>
    <xf numFmtId="49" fontId="1" fillId="42" borderId="42" xfId="2137" applyNumberFormat="1" applyFont="1" applyFill="1" applyBorder="1" applyAlignment="1">
      <alignment horizontal="center" vertical="center" wrapText="1"/>
    </xf>
    <xf numFmtId="49" fontId="1" fillId="42" borderId="5" xfId="2137" applyNumberFormat="1" applyFont="1" applyFill="1" applyBorder="1" applyAlignment="1">
      <alignment horizontal="center" vertical="center" wrapText="1"/>
    </xf>
    <xf numFmtId="49" fontId="1" fillId="42" borderId="6" xfId="2137" applyNumberFormat="1" applyFont="1" applyFill="1" applyBorder="1" applyAlignment="1">
      <alignment horizontal="center" vertical="center" wrapText="1"/>
    </xf>
    <xf numFmtId="0" fontId="1" fillId="43" borderId="41" xfId="5" applyNumberFormat="1" applyFont="1" applyFill="1" applyBorder="1" applyAlignment="1">
      <alignment horizontal="center" vertical="center" wrapText="1"/>
    </xf>
    <xf numFmtId="0" fontId="1" fillId="44" borderId="49" xfId="5" applyNumberFormat="1" applyFont="1" applyFill="1" applyBorder="1" applyAlignment="1">
      <alignment horizontal="center" vertical="center" wrapText="1"/>
    </xf>
    <xf numFmtId="0" fontId="1" fillId="44" borderId="48" xfId="5" applyNumberFormat="1" applyFont="1" applyFill="1" applyBorder="1" applyAlignment="1">
      <alignment horizontal="center" vertical="center" wrapText="1"/>
    </xf>
    <xf numFmtId="0" fontId="1" fillId="44" borderId="50" xfId="5" applyNumberFormat="1" applyFont="1" applyFill="1" applyBorder="1" applyAlignment="1">
      <alignment horizontal="center" vertical="center" wrapText="1"/>
    </xf>
    <xf numFmtId="0" fontId="1" fillId="44" borderId="33" xfId="5" applyNumberFormat="1" applyFont="1" applyFill="1" applyBorder="1" applyAlignment="1">
      <alignment horizontal="center" vertical="center" wrapText="1"/>
    </xf>
    <xf numFmtId="0" fontId="1" fillId="44" borderId="0" xfId="5" applyNumberFormat="1" applyFont="1" applyFill="1" applyBorder="1" applyAlignment="1">
      <alignment horizontal="center" vertical="center" wrapText="1"/>
    </xf>
    <xf numFmtId="0" fontId="1" fillId="44" borderId="12" xfId="5" applyNumberFormat="1" applyFont="1" applyFill="1" applyBorder="1" applyAlignment="1">
      <alignment horizontal="center" vertical="center" wrapText="1"/>
    </xf>
    <xf numFmtId="0" fontId="1" fillId="44" borderId="10" xfId="5" applyNumberFormat="1" applyFont="1" applyFill="1" applyBorder="1" applyAlignment="1">
      <alignment horizontal="center" vertical="center" wrapText="1"/>
    </xf>
    <xf numFmtId="0" fontId="1" fillId="44" borderId="7" xfId="5" applyNumberFormat="1" applyFont="1" applyFill="1" applyBorder="1" applyAlignment="1">
      <alignment horizontal="center" vertical="center" wrapText="1"/>
    </xf>
    <xf numFmtId="0" fontId="1" fillId="44" borderId="9" xfId="5" applyNumberFormat="1" applyFont="1" applyFill="1" applyBorder="1" applyAlignment="1">
      <alignment horizontal="center" vertical="center" wrapText="1"/>
    </xf>
    <xf numFmtId="168" fontId="1" fillId="3" borderId="41" xfId="5" applyNumberFormat="1" applyFont="1" applyFill="1" applyBorder="1" applyAlignment="1">
      <alignment horizontal="center" vertical="center" wrapText="1"/>
    </xf>
    <xf numFmtId="168" fontId="1" fillId="3" borderId="42" xfId="5" applyNumberFormat="1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5" borderId="41" xfId="5" applyNumberFormat="1" applyFont="1" applyFill="1" applyBorder="1" applyAlignment="1">
      <alignment horizontal="center" vertical="center" wrapText="1"/>
    </xf>
    <xf numFmtId="0" fontId="1" fillId="0" borderId="43" xfId="4" applyFont="1" applyBorder="1" applyAlignment="1">
      <alignment horizontal="center" vertical="center" wrapText="1"/>
    </xf>
    <xf numFmtId="0" fontId="1" fillId="0" borderId="44" xfId="4" applyFont="1" applyBorder="1" applyAlignment="1">
      <alignment horizontal="center" vertical="center" wrapText="1"/>
    </xf>
    <xf numFmtId="0" fontId="11" fillId="5" borderId="41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168" fontId="11" fillId="0" borderId="37" xfId="29" applyNumberFormat="1" applyFont="1" applyBorder="1" applyAlignment="1">
      <alignment horizontal="center" vertical="center" wrapText="1"/>
    </xf>
    <xf numFmtId="168" fontId="11" fillId="0" borderId="6" xfId="29" applyNumberFormat="1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/>
    </xf>
    <xf numFmtId="0" fontId="209" fillId="0" borderId="38" xfId="6" applyFont="1" applyBorder="1" applyAlignment="1">
      <alignment horizontal="center" vertical="center"/>
    </xf>
    <xf numFmtId="0" fontId="209" fillId="0" borderId="39" xfId="6" applyFont="1" applyBorder="1" applyAlignment="1">
      <alignment horizontal="center" vertical="center"/>
    </xf>
    <xf numFmtId="0" fontId="209" fillId="0" borderId="40" xfId="6" applyFont="1" applyBorder="1" applyAlignment="1">
      <alignment horizontal="center" vertical="center"/>
    </xf>
    <xf numFmtId="0" fontId="209" fillId="2" borderId="38" xfId="6" applyFont="1" applyFill="1" applyBorder="1" applyAlignment="1">
      <alignment horizontal="center" vertical="center"/>
    </xf>
    <xf numFmtId="0" fontId="209" fillId="2" borderId="39" xfId="6" applyFont="1" applyFill="1" applyBorder="1" applyAlignment="1">
      <alignment horizontal="center" vertical="center"/>
    </xf>
    <xf numFmtId="0" fontId="209" fillId="2" borderId="40" xfId="6" applyFont="1" applyFill="1" applyBorder="1" applyAlignment="1">
      <alignment horizontal="center" vertical="center"/>
    </xf>
    <xf numFmtId="0" fontId="9" fillId="3" borderId="34" xfId="6" applyFont="1" applyFill="1" applyBorder="1" applyAlignment="1">
      <alignment horizontal="center" vertical="center"/>
    </xf>
    <xf numFmtId="0" fontId="209" fillId="3" borderId="34" xfId="6" applyFont="1" applyFill="1" applyBorder="1" applyAlignment="1">
      <alignment horizontal="center" vertical="center"/>
    </xf>
    <xf numFmtId="0" fontId="209" fillId="3" borderId="34" xfId="6" applyFont="1" applyFill="1" applyBorder="1" applyAlignment="1">
      <alignment horizontal="center" vertical="center" wrapText="1"/>
    </xf>
  </cellXfs>
  <cellStyles count="2138">
    <cellStyle name="          _x000d__x000a_mouse.drv=lmouse.drv" xfId="30" xr:uid="{00000000-0005-0000-0000-000000000000}"/>
    <cellStyle name="_x000a_mouse.drv=lm" xfId="31" xr:uid="{00000000-0005-0000-0000-000001000000}"/>
    <cellStyle name="#,##0" xfId="11" xr:uid="{00000000-0005-0000-0000-000002000000}"/>
    <cellStyle name="#.0" xfId="32" xr:uid="{00000000-0005-0000-0000-000003000000}"/>
    <cellStyle name=")" xfId="33" xr:uid="{00000000-0005-0000-0000-000004000000}"/>
    <cellStyle name=")omma_9월경비 (2)_97회비 (2)_1월회비내역ͬ(2)" xfId="34" xr:uid="{00000000-0005-0000-0000-000005000000}"/>
    <cellStyle name="." xfId="35" xr:uid="{00000000-0005-0000-0000-000006000000}"/>
    <cellStyle name=".0" xfId="36" xr:uid="{00000000-0005-0000-0000-000007000000}"/>
    <cellStyle name="?" xfId="37" xr:uid="{00000000-0005-0000-0000-000008000000}"/>
    <cellStyle name="??" xfId="38" xr:uid="{00000000-0005-0000-0000-000009000000}"/>
    <cellStyle name="?? [0.00]_ Att. 1- Cover" xfId="39" xr:uid="{00000000-0005-0000-0000-00000A000000}"/>
    <cellStyle name="?? [0]" xfId="40" xr:uid="{00000000-0005-0000-0000-00000B000000}"/>
    <cellStyle name="??&amp;O?&amp;H?_x0008__x000f__x0007_?_x0007__x0001__x0001_" xfId="41" xr:uid="{00000000-0005-0000-0000-00000C000000}"/>
    <cellStyle name="??&amp;O?&amp;H?_x0008_??_x0007__x0001__x0001_" xfId="42" xr:uid="{00000000-0005-0000-0000-00000D000000}"/>
    <cellStyle name="???? [0.00]_PRODUCT DETAIL Q1" xfId="43" xr:uid="{00000000-0005-0000-0000-00000E000000}"/>
    <cellStyle name="????_PRODUCT DETAIL Q1" xfId="44" xr:uid="{00000000-0005-0000-0000-00000F000000}"/>
    <cellStyle name="???[0]_00Q3902REV.1" xfId="45" xr:uid="{00000000-0005-0000-0000-000010000000}"/>
    <cellStyle name="???_???" xfId="46" xr:uid="{00000000-0005-0000-0000-000011000000}"/>
    <cellStyle name="??[0]_BRE" xfId="47" xr:uid="{00000000-0005-0000-0000-000012000000}"/>
    <cellStyle name="??_ Att. 1- Cover" xfId="48" xr:uid="{00000000-0005-0000-0000-000013000000}"/>
    <cellStyle name="?”´?_REV3 " xfId="49" xr:uid="{00000000-0005-0000-0000-000014000000}"/>
    <cellStyle name="_1" xfId="50" xr:uid="{00000000-0005-0000-0000-000015000000}"/>
    <cellStyle name="_155-632 QUI III07-07-09" xfId="51" xr:uid="{00000000-0005-0000-0000-000016000000}"/>
    <cellStyle name="_94390482품질평가서_앞장(041227)" xfId="52" xr:uid="{00000000-0005-0000-0000-000017000000}"/>
    <cellStyle name="_94392449EVALUATION SHEET(Final,시험총괄)" xfId="53" xr:uid="{00000000-0005-0000-0000-000018000000}"/>
    <cellStyle name="_bao ho lao dong thang 5" xfId="54" xr:uid="{00000000-0005-0000-0000-000019000000}"/>
    <cellStyle name="_bieumau" xfId="55" xr:uid="{00000000-0005-0000-0000-00001A000000}"/>
    <cellStyle name="_Book1" xfId="56" xr:uid="{00000000-0005-0000-0000-00001B000000}"/>
    <cellStyle name="_Book1_1" xfId="57" xr:uid="{00000000-0005-0000-0000-00001C000000}"/>
    <cellStyle name="_Book1_1_HUNG-DINH MUC THUNG TAI LUNG - BEN -21-12-07" xfId="58" xr:uid="{00000000-0005-0000-0000-00001D000000}"/>
    <cellStyle name="_Book1_Book1" xfId="59" xr:uid="{00000000-0005-0000-0000-00001E000000}"/>
    <cellStyle name="_Book1_Book1_FOTON BEN-08" xfId="60" xr:uid="{00000000-0005-0000-0000-00001F000000}"/>
    <cellStyle name="_Book1_Book1_X DONG THUNG" xfId="61" xr:uid="{00000000-0005-0000-0000-000020000000}"/>
    <cellStyle name="_Book1_Book3" xfId="62" xr:uid="{00000000-0005-0000-0000-000021000000}"/>
    <cellStyle name="_Book1_FOTON BEN-08" xfId="63" xr:uid="{00000000-0005-0000-0000-000022000000}"/>
    <cellStyle name="_Book1_KHSX 70 XE DANG KIEM" xfId="64" xr:uid="{00000000-0005-0000-0000-000023000000}"/>
    <cellStyle name="_Book1_NHAP" xfId="65" xr:uid="{00000000-0005-0000-0000-000024000000}"/>
    <cellStyle name="_Book1_TONG HOP CHI TIET" xfId="66" xr:uid="{00000000-0005-0000-0000-000025000000}"/>
    <cellStyle name="_Book1_X DONG THUNG" xfId="67" xr:uid="{00000000-0005-0000-0000-000026000000}"/>
    <cellStyle name="_Book3" xfId="68" xr:uid="{00000000-0005-0000-0000-000027000000}"/>
    <cellStyle name="_ET_STYLE_NoName_00_" xfId="69" xr:uid="{00000000-0005-0000-0000-000028000000}"/>
    <cellStyle name="_ET_STYLE_NoName_00_ 2" xfId="70" xr:uid="{00000000-0005-0000-0000-000029000000}"/>
    <cellStyle name="_ET_STYLE_NoName_00_ 3" xfId="71" xr:uid="{00000000-0005-0000-0000-00002A000000}"/>
    <cellStyle name="_ET_STYLE_NoName_00__1605PD" xfId="72" xr:uid="{00000000-0005-0000-0000-00002B000000}"/>
    <cellStyle name="_ET_STYLE_NoName_00__1605PD 2" xfId="73" xr:uid="{00000000-0005-0000-0000-00002C000000}"/>
    <cellStyle name="_ET_STYLE_NoName_00__1605PD 3" xfId="74" xr:uid="{00000000-0005-0000-0000-00002D000000}"/>
    <cellStyle name="_ET_STYLE_NoName_00__A" xfId="75" xr:uid="{00000000-0005-0000-0000-00002E000000}"/>
    <cellStyle name="_ET_STYLE_NoName_00__A_1" xfId="76" xr:uid="{00000000-0005-0000-0000-00002F000000}"/>
    <cellStyle name="_ET_STYLE_NoName_00__AT DETAIL PACKING LIST(FINAL)" xfId="77" xr:uid="{00000000-0005-0000-0000-000030000000}"/>
    <cellStyle name="_ET_STYLE_NoName_00__Detailed Packing list HD93-2007 (revise)" xfId="78" xr:uid="{00000000-0005-0000-0000-000031000000}"/>
    <cellStyle name="_ET_STYLE_NoName_00__Detailed Packing list HD93-2007 (revise)_THCT XE 1.5 TAI HD 111" xfId="79" xr:uid="{00000000-0005-0000-0000-000032000000}"/>
    <cellStyle name="_ET_STYLE_NoName_00__Detailed Packing list HD93-2007 (revise)_THCT XE 1.5 TAI HD 111 2" xfId="80" xr:uid="{00000000-0005-0000-0000-000033000000}"/>
    <cellStyle name="_ET_STYLE_NoName_00__Detailed Packing list HD93-2007 (revise)_THCT XE 1.5 TAI HD 111 3" xfId="81" xr:uid="{00000000-0005-0000-0000-000034000000}"/>
    <cellStyle name="_ET_STYLE_NoName_00__DPL HD1" xfId="82" xr:uid="{00000000-0005-0000-0000-000035000000}"/>
    <cellStyle name="_ET_STYLE_NoName_00__DPL HD1_THCT XE 1.5 TAI HD 111" xfId="83" xr:uid="{00000000-0005-0000-0000-000036000000}"/>
    <cellStyle name="_ET_STYLE_NoName_00__DPL HD1_THCT XE 1.5 TAI HD 111 2" xfId="84" xr:uid="{00000000-0005-0000-0000-000037000000}"/>
    <cellStyle name="_ET_STYLE_NoName_00__DPL HD1_THCT XE 1.5 TAI HD 111 3" xfId="85" xr:uid="{00000000-0005-0000-0000-000038000000}"/>
    <cellStyle name="_ET_STYLE_NoName_00__DPL HD104" xfId="86" xr:uid="{00000000-0005-0000-0000-000039000000}"/>
    <cellStyle name="_ET_STYLE_NoName_00__DPL HD104_THCT XE 1.5 TAI HD 111" xfId="87" xr:uid="{00000000-0005-0000-0000-00003A000000}"/>
    <cellStyle name="_ET_STYLE_NoName_00__DPL HD104_THCT XE 1.5 TAI HD 111 2" xfId="88" xr:uid="{00000000-0005-0000-0000-00003B000000}"/>
    <cellStyle name="_ET_STYLE_NoName_00__DPL HD104_THCT XE 1.5 TAI HD 111 3" xfId="89" xr:uid="{00000000-0005-0000-0000-00003C000000}"/>
    <cellStyle name="_ET_STYLE_NoName_00__DPL HD109" xfId="90" xr:uid="{00000000-0005-0000-0000-00003D000000}"/>
    <cellStyle name="_ET_STYLE_NoName_00__DPL HD109_THCT XE 1.5 TAI HD 111" xfId="91" xr:uid="{00000000-0005-0000-0000-00003E000000}"/>
    <cellStyle name="_ET_STYLE_NoName_00__DPL HD109_THCT XE 1.5 TAI HD 111 2" xfId="92" xr:uid="{00000000-0005-0000-0000-00003F000000}"/>
    <cellStyle name="_ET_STYLE_NoName_00__DPL HD109_THCT XE 1.5 TAI HD 111 3" xfId="93" xr:uid="{00000000-0005-0000-0000-000040000000}"/>
    <cellStyle name="_ET_STYLE_NoName_00__DPL HD93-2007 (revise)" xfId="94" xr:uid="{00000000-0005-0000-0000-000041000000}"/>
    <cellStyle name="_ET_STYLE_NoName_00__DPL HD95-2007 revised" xfId="95" xr:uid="{00000000-0005-0000-0000-000042000000}"/>
    <cellStyle name="_ET_STYLE_NoName_00__DPL HD96-2007" xfId="96" xr:uid="{00000000-0005-0000-0000-000043000000}"/>
    <cellStyle name="_ET_STYLE_NoName_00__DPL HD96-2007_THCT XE 1.5 TAI HD 111" xfId="97" xr:uid="{00000000-0005-0000-0000-000044000000}"/>
    <cellStyle name="_ET_STYLE_NoName_00__DPL HD96-2007_THCT XE 1.5 TAI HD 111 2" xfId="98" xr:uid="{00000000-0005-0000-0000-000045000000}"/>
    <cellStyle name="_ET_STYLE_NoName_00__DPL HD96-2007_THCT XE 1.5 TAI HD 111 3" xfId="99" xr:uid="{00000000-0005-0000-0000-000046000000}"/>
    <cellStyle name="_ET_STYLE_NoName_00__DPL HD97-2007" xfId="100" xr:uid="{00000000-0005-0000-0000-000047000000}"/>
    <cellStyle name="_ET_STYLE_NoName_00__DPL HD97-2007_THCT XE 1.5 TAI HD 111" xfId="101" xr:uid="{00000000-0005-0000-0000-000048000000}"/>
    <cellStyle name="_ET_STYLE_NoName_00__DPL HD97-2007_THCT XE 1.5 TAI HD 111 2" xfId="102" xr:uid="{00000000-0005-0000-0000-000049000000}"/>
    <cellStyle name="_ET_STYLE_NoName_00__DPL HD97-2007_THCT XE 1.5 TAI HD 111 3" xfId="103" xr:uid="{00000000-0005-0000-0000-00004A000000}"/>
    <cellStyle name="_ET_STYLE_NoName_00__DPL-101 (13 cont)" xfId="104" xr:uid="{00000000-0005-0000-0000-00004B000000}"/>
    <cellStyle name="_ET_STYLE_NoName_00__DPL-101 (13 cont)_THCT XE 1.5 TAI HD 111" xfId="105" xr:uid="{00000000-0005-0000-0000-00004C000000}"/>
    <cellStyle name="_ET_STYLE_NoName_00__DPL-101 (13 cont)_THCT XE 1.5 TAI HD 111 2" xfId="106" xr:uid="{00000000-0005-0000-0000-00004D000000}"/>
    <cellStyle name="_ET_STYLE_NoName_00__DPL-101 (13 cont)_THCT XE 1.5 TAI HD 111 3" xfId="107" xr:uid="{00000000-0005-0000-0000-00004E000000}"/>
    <cellStyle name="_ET_STYLE_NoName_00__DPL-107,111,112,119" xfId="108" xr:uid="{00000000-0005-0000-0000-00004F000000}"/>
    <cellStyle name="_ET_STYLE_NoName_00__DPL-107,111,112,119 ( File tong hop) new" xfId="109" xr:uid="{00000000-0005-0000-0000-000050000000}"/>
    <cellStyle name="_ET_STYLE_NoName_00__DPL-107,111,112,119 ( File tong hop) new 2" xfId="110" xr:uid="{00000000-0005-0000-0000-000051000000}"/>
    <cellStyle name="_ET_STYLE_NoName_00__DPL-107,111,112,119 ( File tong hop) new 3" xfId="111" xr:uid="{00000000-0005-0000-0000-000052000000}"/>
    <cellStyle name="_ET_STYLE_NoName_00__DPL-107,111,112,119 10" xfId="112" xr:uid="{00000000-0005-0000-0000-000053000000}"/>
    <cellStyle name="_ET_STYLE_NoName_00__DPL-107,111,112,119 11" xfId="113" xr:uid="{00000000-0005-0000-0000-000054000000}"/>
    <cellStyle name="_ET_STYLE_NoName_00__DPL-107,111,112,119 12" xfId="114" xr:uid="{00000000-0005-0000-0000-000055000000}"/>
    <cellStyle name="_ET_STYLE_NoName_00__DPL-107,111,112,119 13" xfId="115" xr:uid="{00000000-0005-0000-0000-000056000000}"/>
    <cellStyle name="_ET_STYLE_NoName_00__DPL-107,111,112,119 14" xfId="116" xr:uid="{00000000-0005-0000-0000-000057000000}"/>
    <cellStyle name="_ET_STYLE_NoName_00__DPL-107,111,112,119 15" xfId="117" xr:uid="{00000000-0005-0000-0000-000058000000}"/>
    <cellStyle name="_ET_STYLE_NoName_00__DPL-107,111,112,119 16" xfId="118" xr:uid="{00000000-0005-0000-0000-000059000000}"/>
    <cellStyle name="_ET_STYLE_NoName_00__DPL-107,111,112,119 17" xfId="119" xr:uid="{00000000-0005-0000-0000-00005A000000}"/>
    <cellStyle name="_ET_STYLE_NoName_00__DPL-107,111,112,119 18" xfId="120" xr:uid="{00000000-0005-0000-0000-00005B000000}"/>
    <cellStyle name="_ET_STYLE_NoName_00__DPL-107,111,112,119 19" xfId="121" xr:uid="{00000000-0005-0000-0000-00005C000000}"/>
    <cellStyle name="_ET_STYLE_NoName_00__DPL-107,111,112,119 2" xfId="122" xr:uid="{00000000-0005-0000-0000-00005D000000}"/>
    <cellStyle name="_ET_STYLE_NoName_00__DPL-107,111,112,119 20" xfId="123" xr:uid="{00000000-0005-0000-0000-00005E000000}"/>
    <cellStyle name="_ET_STYLE_NoName_00__DPL-107,111,112,119 21" xfId="124" xr:uid="{00000000-0005-0000-0000-00005F000000}"/>
    <cellStyle name="_ET_STYLE_NoName_00__DPL-107,111,112,119 22" xfId="125" xr:uid="{00000000-0005-0000-0000-000060000000}"/>
    <cellStyle name="_ET_STYLE_NoName_00__DPL-107,111,112,119 23" xfId="126" xr:uid="{00000000-0005-0000-0000-000061000000}"/>
    <cellStyle name="_ET_STYLE_NoName_00__DPL-107,111,112,119 24" xfId="127" xr:uid="{00000000-0005-0000-0000-000062000000}"/>
    <cellStyle name="_ET_STYLE_NoName_00__DPL-107,111,112,119 25" xfId="128" xr:uid="{00000000-0005-0000-0000-000063000000}"/>
    <cellStyle name="_ET_STYLE_NoName_00__DPL-107,111,112,119 26" xfId="129" xr:uid="{00000000-0005-0000-0000-000064000000}"/>
    <cellStyle name="_ET_STYLE_NoName_00__DPL-107,111,112,119 27" xfId="130" xr:uid="{00000000-0005-0000-0000-000065000000}"/>
    <cellStyle name="_ET_STYLE_NoName_00__DPL-107,111,112,119 28" xfId="131" xr:uid="{00000000-0005-0000-0000-000066000000}"/>
    <cellStyle name="_ET_STYLE_NoName_00__DPL-107,111,112,119 29" xfId="132" xr:uid="{00000000-0005-0000-0000-000067000000}"/>
    <cellStyle name="_ET_STYLE_NoName_00__DPL-107,111,112,119 3" xfId="133" xr:uid="{00000000-0005-0000-0000-000068000000}"/>
    <cellStyle name="_ET_STYLE_NoName_00__DPL-107,111,112,119 30" xfId="134" xr:uid="{00000000-0005-0000-0000-000069000000}"/>
    <cellStyle name="_ET_STYLE_NoName_00__DPL-107,111,112,119 31" xfId="135" xr:uid="{00000000-0005-0000-0000-00006A000000}"/>
    <cellStyle name="_ET_STYLE_NoName_00__DPL-107,111,112,119 32" xfId="136" xr:uid="{00000000-0005-0000-0000-00006B000000}"/>
    <cellStyle name="_ET_STYLE_NoName_00__DPL-107,111,112,119 33" xfId="137" xr:uid="{00000000-0005-0000-0000-00006C000000}"/>
    <cellStyle name="_ET_STYLE_NoName_00__DPL-107,111,112,119 34" xfId="138" xr:uid="{00000000-0005-0000-0000-00006D000000}"/>
    <cellStyle name="_ET_STYLE_NoName_00__DPL-107,111,112,119 35" xfId="139" xr:uid="{00000000-0005-0000-0000-00006E000000}"/>
    <cellStyle name="_ET_STYLE_NoName_00__DPL-107,111,112,119 36" xfId="140" xr:uid="{00000000-0005-0000-0000-00006F000000}"/>
    <cellStyle name="_ET_STYLE_NoName_00__DPL-107,111,112,119 37" xfId="141" xr:uid="{00000000-0005-0000-0000-000070000000}"/>
    <cellStyle name="_ET_STYLE_NoName_00__DPL-107,111,112,119 38" xfId="142" xr:uid="{00000000-0005-0000-0000-000071000000}"/>
    <cellStyle name="_ET_STYLE_NoName_00__DPL-107,111,112,119 39" xfId="143" xr:uid="{00000000-0005-0000-0000-000072000000}"/>
    <cellStyle name="_ET_STYLE_NoName_00__DPL-107,111,112,119 4" xfId="144" xr:uid="{00000000-0005-0000-0000-000073000000}"/>
    <cellStyle name="_ET_STYLE_NoName_00__DPL-107,111,112,119 40" xfId="145" xr:uid="{00000000-0005-0000-0000-000074000000}"/>
    <cellStyle name="_ET_STYLE_NoName_00__DPL-107,111,112,119 41" xfId="146" xr:uid="{00000000-0005-0000-0000-000075000000}"/>
    <cellStyle name="_ET_STYLE_NoName_00__DPL-107,111,112,119 42" xfId="147" xr:uid="{00000000-0005-0000-0000-000076000000}"/>
    <cellStyle name="_ET_STYLE_NoName_00__DPL-107,111,112,119 43" xfId="148" xr:uid="{00000000-0005-0000-0000-000077000000}"/>
    <cellStyle name="_ET_STYLE_NoName_00__DPL-107,111,112,119 44" xfId="149" xr:uid="{00000000-0005-0000-0000-000078000000}"/>
    <cellStyle name="_ET_STYLE_NoName_00__DPL-107,111,112,119 45" xfId="150" xr:uid="{00000000-0005-0000-0000-000079000000}"/>
    <cellStyle name="_ET_STYLE_NoName_00__DPL-107,111,112,119 46" xfId="151" xr:uid="{00000000-0005-0000-0000-00007A000000}"/>
    <cellStyle name="_ET_STYLE_NoName_00__DPL-107,111,112,119 47" xfId="152" xr:uid="{00000000-0005-0000-0000-00007B000000}"/>
    <cellStyle name="_ET_STYLE_NoName_00__DPL-107,111,112,119 48" xfId="153" xr:uid="{00000000-0005-0000-0000-00007C000000}"/>
    <cellStyle name="_ET_STYLE_NoName_00__DPL-107,111,112,119 49" xfId="154" xr:uid="{00000000-0005-0000-0000-00007D000000}"/>
    <cellStyle name="_ET_STYLE_NoName_00__DPL-107,111,112,119 5" xfId="155" xr:uid="{00000000-0005-0000-0000-00007E000000}"/>
    <cellStyle name="_ET_STYLE_NoName_00__DPL-107,111,112,119 50" xfId="156" xr:uid="{00000000-0005-0000-0000-00007F000000}"/>
    <cellStyle name="_ET_STYLE_NoName_00__DPL-107,111,112,119 51" xfId="157" xr:uid="{00000000-0005-0000-0000-000080000000}"/>
    <cellStyle name="_ET_STYLE_NoName_00__DPL-107,111,112,119 52" xfId="158" xr:uid="{00000000-0005-0000-0000-000081000000}"/>
    <cellStyle name="_ET_STYLE_NoName_00__DPL-107,111,112,119 53" xfId="159" xr:uid="{00000000-0005-0000-0000-000082000000}"/>
    <cellStyle name="_ET_STYLE_NoName_00__DPL-107,111,112,119 54" xfId="160" xr:uid="{00000000-0005-0000-0000-000083000000}"/>
    <cellStyle name="_ET_STYLE_NoName_00__DPL-107,111,112,119 55" xfId="161" xr:uid="{00000000-0005-0000-0000-000084000000}"/>
    <cellStyle name="_ET_STYLE_NoName_00__DPL-107,111,112,119 56" xfId="162" xr:uid="{00000000-0005-0000-0000-000085000000}"/>
    <cellStyle name="_ET_STYLE_NoName_00__DPL-107,111,112,119 57" xfId="163" xr:uid="{00000000-0005-0000-0000-000086000000}"/>
    <cellStyle name="_ET_STYLE_NoName_00__DPL-107,111,112,119 58" xfId="164" xr:uid="{00000000-0005-0000-0000-000087000000}"/>
    <cellStyle name="_ET_STYLE_NoName_00__DPL-107,111,112,119 59" xfId="165" xr:uid="{00000000-0005-0000-0000-000088000000}"/>
    <cellStyle name="_ET_STYLE_NoName_00__DPL-107,111,112,119 6" xfId="166" xr:uid="{00000000-0005-0000-0000-000089000000}"/>
    <cellStyle name="_ET_STYLE_NoName_00__DPL-107,111,112,119 60" xfId="167" xr:uid="{00000000-0005-0000-0000-00008A000000}"/>
    <cellStyle name="_ET_STYLE_NoName_00__DPL-107,111,112,119 61" xfId="168" xr:uid="{00000000-0005-0000-0000-00008B000000}"/>
    <cellStyle name="_ET_STYLE_NoName_00__DPL-107,111,112,119 62" xfId="169" xr:uid="{00000000-0005-0000-0000-00008C000000}"/>
    <cellStyle name="_ET_STYLE_NoName_00__DPL-107,111,112,119 63" xfId="170" xr:uid="{00000000-0005-0000-0000-00008D000000}"/>
    <cellStyle name="_ET_STYLE_NoName_00__DPL-107,111,112,119 64" xfId="171" xr:uid="{00000000-0005-0000-0000-00008E000000}"/>
    <cellStyle name="_ET_STYLE_NoName_00__DPL-107,111,112,119 65" xfId="172" xr:uid="{00000000-0005-0000-0000-00008F000000}"/>
    <cellStyle name="_ET_STYLE_NoName_00__DPL-107,111,112,119 66" xfId="173" xr:uid="{00000000-0005-0000-0000-000090000000}"/>
    <cellStyle name="_ET_STYLE_NoName_00__DPL-107,111,112,119 67" xfId="174" xr:uid="{00000000-0005-0000-0000-000091000000}"/>
    <cellStyle name="_ET_STYLE_NoName_00__DPL-107,111,112,119 68" xfId="175" xr:uid="{00000000-0005-0000-0000-000092000000}"/>
    <cellStyle name="_ET_STYLE_NoName_00__DPL-107,111,112,119 69" xfId="176" xr:uid="{00000000-0005-0000-0000-000093000000}"/>
    <cellStyle name="_ET_STYLE_NoName_00__DPL-107,111,112,119 7" xfId="177" xr:uid="{00000000-0005-0000-0000-000094000000}"/>
    <cellStyle name="_ET_STYLE_NoName_00__DPL-107,111,112,119 70" xfId="178" xr:uid="{00000000-0005-0000-0000-000095000000}"/>
    <cellStyle name="_ET_STYLE_NoName_00__DPL-107,111,112,119 71" xfId="179" xr:uid="{00000000-0005-0000-0000-000096000000}"/>
    <cellStyle name="_ET_STYLE_NoName_00__DPL-107,111,112,119 8" xfId="180" xr:uid="{00000000-0005-0000-0000-000097000000}"/>
    <cellStyle name="_ET_STYLE_NoName_00__DPL-107,111,112,119 9" xfId="181" xr:uid="{00000000-0005-0000-0000-000098000000}"/>
    <cellStyle name="_ET_STYLE_NoName_00__DPL-113" xfId="182" xr:uid="{00000000-0005-0000-0000-000099000000}"/>
    <cellStyle name="_ET_STYLE_NoName_00__DPL-120" xfId="183" xr:uid="{00000000-0005-0000-0000-00009A000000}"/>
    <cellStyle name="_ET_STYLE_NoName_00__DPL-121" xfId="184" xr:uid="{00000000-0005-0000-0000-00009B000000}"/>
    <cellStyle name="_ET_STYLE_NoName_00__DPL-HD111" xfId="185" xr:uid="{00000000-0005-0000-0000-00009C000000}"/>
    <cellStyle name="_ET_STYLE_NoName_00__DPL-HD111 2" xfId="186" xr:uid="{00000000-0005-0000-0000-00009D000000}"/>
    <cellStyle name="_ET_STYLE_NoName_00__DPL-HD111 3" xfId="187" xr:uid="{00000000-0005-0000-0000-00009E000000}"/>
    <cellStyle name="_ET_STYLE_NoName_00__DPL-HD114" xfId="188" xr:uid="{00000000-0005-0000-0000-00009F000000}"/>
    <cellStyle name="_ET_STYLE_NoName_00__DPL-HD119" xfId="189" xr:uid="{00000000-0005-0000-0000-0000A0000000}"/>
    <cellStyle name="_ET_STYLE_NoName_00__DPL-HD119 2" xfId="190" xr:uid="{00000000-0005-0000-0000-0000A1000000}"/>
    <cellStyle name="_ET_STYLE_NoName_00__DPL-HD119 3" xfId="191" xr:uid="{00000000-0005-0000-0000-0000A2000000}"/>
    <cellStyle name="_ET_STYLE_NoName_00__DPL-HD129 (tuc HD60 cu)" xfId="192" xr:uid="{00000000-0005-0000-0000-0000A3000000}"/>
    <cellStyle name="_ET_STYLE_NoName_00__DPL-HD134" xfId="193" xr:uid="{00000000-0005-0000-0000-0000A4000000}"/>
    <cellStyle name="_ET_STYLE_NoName_00__DPL-HD135" xfId="194" xr:uid="{00000000-0005-0000-0000-0000A5000000}"/>
    <cellStyle name="_ET_STYLE_NoName_00__DPL-HD137-29.12" xfId="195" xr:uid="{00000000-0005-0000-0000-0000A6000000}"/>
    <cellStyle name="_ET_STYLE_NoName_00__DPL-HD139-27.12" xfId="196" xr:uid="{00000000-0005-0000-0000-0000A7000000}"/>
    <cellStyle name="_ET_STYLE_NoName_00__Sheet1" xfId="197" xr:uid="{00000000-0005-0000-0000-0000A8000000}"/>
    <cellStyle name="_ET_STYLE_NoName_00__Sheet5" xfId="198" xr:uid="{00000000-0005-0000-0000-0000A9000000}"/>
    <cellStyle name="_ET_STYLE_NoName_00__Sheet5_DPL-113" xfId="199" xr:uid="{00000000-0005-0000-0000-0000AA000000}"/>
    <cellStyle name="_ET_STYLE_NoName_00__Sheet5_DPL-113 2" xfId="200" xr:uid="{00000000-0005-0000-0000-0000AB000000}"/>
    <cellStyle name="_ET_STYLE_NoName_00__Sheet5_DPL-113 3" xfId="201" xr:uid="{00000000-0005-0000-0000-0000AC000000}"/>
    <cellStyle name="_ET_STYLE_NoName_00__Sheet5_DPL-120" xfId="202" xr:uid="{00000000-0005-0000-0000-0000AD000000}"/>
    <cellStyle name="_ET_STYLE_NoName_00__Sheet5_DPL-120 2" xfId="203" xr:uid="{00000000-0005-0000-0000-0000AE000000}"/>
    <cellStyle name="_ET_STYLE_NoName_00__Sheet5_DPL-120 3" xfId="204" xr:uid="{00000000-0005-0000-0000-0000AF000000}"/>
    <cellStyle name="_ET_STYLE_NoName_00__Sheet5_DPL-121" xfId="205" xr:uid="{00000000-0005-0000-0000-0000B0000000}"/>
    <cellStyle name="_ET_STYLE_NoName_00__Sheet5_DPL-157" xfId="206" xr:uid="{00000000-0005-0000-0000-0000B1000000}"/>
    <cellStyle name="_ET_STYLE_NoName_00__Sheet5_DPL-157 2" xfId="207" xr:uid="{00000000-0005-0000-0000-0000B2000000}"/>
    <cellStyle name="_ET_STYLE_NoName_00__Sheet5_DPL-157 3" xfId="208" xr:uid="{00000000-0005-0000-0000-0000B3000000}"/>
    <cellStyle name="_ET_STYLE_NoName_00__Sheet5_DPL-HD134" xfId="209" xr:uid="{00000000-0005-0000-0000-0000B4000000}"/>
    <cellStyle name="_ET_STYLE_NoName_00__Sheet5_DPL-HD134 2" xfId="210" xr:uid="{00000000-0005-0000-0000-0000B5000000}"/>
    <cellStyle name="_ET_STYLE_NoName_00__Sheet5_DPL-HD134 3" xfId="211" xr:uid="{00000000-0005-0000-0000-0000B6000000}"/>
    <cellStyle name="_ET_STYLE_NoName_00__任思收(总装三车间新增标辅料定额)" xfId="212" xr:uid="{00000000-0005-0000-0000-0000B7000000}"/>
    <cellStyle name="_ET_STYLE_NoName_00__任思收(总装三车间新增标辅料定额)_DPL-HD111" xfId="213" xr:uid="{00000000-0005-0000-0000-0000B8000000}"/>
    <cellStyle name="_ET_STYLE_NoName_00__任思收(总装三车间新增标辅料定额)_DPL-HD111_THCT XE 1.5 TAI HD 111" xfId="214" xr:uid="{00000000-0005-0000-0000-0000B9000000}"/>
    <cellStyle name="_ET_STYLE_NoName_00__任思收(总装三车间新增标辅料定额)_DPL-HD111_THCT XE 1.5 TAI HD 111 2" xfId="215" xr:uid="{00000000-0005-0000-0000-0000BA000000}"/>
    <cellStyle name="_ET_STYLE_NoName_00__任思收(总装三车间新增标辅料定额)_DPL-HD111_THCT XE 1.5 TAI HD 111 3" xfId="216" xr:uid="{00000000-0005-0000-0000-0000BB000000}"/>
    <cellStyle name="_ET_STYLE_NoName_00__任思收(总装三车间新增标辅料定额)_DPL-HD114" xfId="217" xr:uid="{00000000-0005-0000-0000-0000BC000000}"/>
    <cellStyle name="_ET_STYLE_NoName_00__任思收(总装三车间新增标辅料定额)_DPL-HD119" xfId="218" xr:uid="{00000000-0005-0000-0000-0000BD000000}"/>
    <cellStyle name="_ET_STYLE_NoName_00__任思收(总装三车间新增标辅料定额)_DPL-HD119 2" xfId="219" xr:uid="{00000000-0005-0000-0000-0000BE000000}"/>
    <cellStyle name="_ET_STYLE_NoName_00__任思收(总装三车间新增标辅料定额)_DPL-HD119 3" xfId="220" xr:uid="{00000000-0005-0000-0000-0000BF000000}"/>
    <cellStyle name="_ET_STYLE_NoName_00__任思收(总装三车间新增标辅料定额)_DPL-HD139-27.12" xfId="221" xr:uid="{00000000-0005-0000-0000-0000C0000000}"/>
    <cellStyle name="_ET_STYLE_NoName_00__任思收(总装三车间新增标辅料定额)_THCT XE 1.5 TAI HD 111" xfId="222" xr:uid="{00000000-0005-0000-0000-0000C1000000}"/>
    <cellStyle name="_ET_STYLE_NoName_00__任思收(总装三车间新增标辅料定额)_THCT XE 1.5 TAI HD 111 2" xfId="223" xr:uid="{00000000-0005-0000-0000-0000C2000000}"/>
    <cellStyle name="_ET_STYLE_NoName_00__任思收(总装三车间新增标辅料定额)_THCT XE 1.5 TAI HD 111 3" xfId="224" xr:uid="{00000000-0005-0000-0000-0000C3000000}"/>
    <cellStyle name="_ET_STYLE_NoName_00__清单" xfId="225" xr:uid="{00000000-0005-0000-0000-0000C4000000}"/>
    <cellStyle name="_ET_STYLE_NoName_00__英文明细" xfId="226" xr:uid="{00000000-0005-0000-0000-0000C5000000}"/>
    <cellStyle name="_ET_STYLE_NoName_00__装箱清单" xfId="227" xr:uid="{00000000-0005-0000-0000-0000C6000000}"/>
    <cellStyle name="_ET_STYLE_NoName_00__装箱清单_DPL-113" xfId="228" xr:uid="{00000000-0005-0000-0000-0000C7000000}"/>
    <cellStyle name="_ET_STYLE_NoName_00__装箱清单_DPL-113 2" xfId="229" xr:uid="{00000000-0005-0000-0000-0000C8000000}"/>
    <cellStyle name="_ET_STYLE_NoName_00__装箱清单_DPL-113 3" xfId="230" xr:uid="{00000000-0005-0000-0000-0000C9000000}"/>
    <cellStyle name="_ET_STYLE_NoName_00__装箱清单_DPL-120" xfId="231" xr:uid="{00000000-0005-0000-0000-0000CA000000}"/>
    <cellStyle name="_ET_STYLE_NoName_00__装箱清单_DPL-121" xfId="232" xr:uid="{00000000-0005-0000-0000-0000CB000000}"/>
    <cellStyle name="_ET_STYLE_NoName_00__装箱清单_DPL-121 2" xfId="233" xr:uid="{00000000-0005-0000-0000-0000CC000000}"/>
    <cellStyle name="_ET_STYLE_NoName_00__装箱清单_DPL-121 3" xfId="234" xr:uid="{00000000-0005-0000-0000-0000CD000000}"/>
    <cellStyle name="_ET_STYLE_NoName_00__装箱清单_DPL-HD129 (tuc HD60 cu)" xfId="235" xr:uid="{00000000-0005-0000-0000-0000CE000000}"/>
    <cellStyle name="_ET_STYLE_NoName_00__装箱清单_DPL-HD129 (tuc HD60 cu) 2" xfId="236" xr:uid="{00000000-0005-0000-0000-0000CF000000}"/>
    <cellStyle name="_ET_STYLE_NoName_00__装箱清单_DPL-HD129 (tuc HD60 cu) 3" xfId="237" xr:uid="{00000000-0005-0000-0000-0000D0000000}"/>
    <cellStyle name="_ET_STYLE_NoName_00__装箱清单_THCT XE 1.5 TAI HD 111" xfId="238" xr:uid="{00000000-0005-0000-0000-0000D1000000}"/>
    <cellStyle name="_ET_STYLE_NoName_00__装箱清单_THCT XE 1.5 TAI HD 111 2" xfId="239" xr:uid="{00000000-0005-0000-0000-0000D2000000}"/>
    <cellStyle name="_ET_STYLE_NoName_00__装箱清单_THCT XE 1.5 TAI HD 111 3" xfId="240" xr:uid="{00000000-0005-0000-0000-0000D3000000}"/>
    <cellStyle name="_ET_STYLE_NoName_00__裸装件" xfId="241" xr:uid="{00000000-0005-0000-0000-0000D4000000}"/>
    <cellStyle name="_FRN1톤 개선대책서 (0822)" xfId="242" xr:uid="{00000000-0005-0000-0000-0000D5000000}"/>
    <cellStyle name="_FRN1톤 전시차지적사항(0816)" xfId="243" xr:uid="{00000000-0005-0000-0000-0000D6000000}"/>
    <cellStyle name="_FRN1톤 지적사항 종합(0822)" xfId="244" xr:uid="{00000000-0005-0000-0000-0000D7000000}"/>
    <cellStyle name="_KHSX 70 XE DANG KIEM" xfId="245" xr:uid="{00000000-0005-0000-0000-0000D8000000}"/>
    <cellStyle name="_ngay 29-04" xfId="246" xr:uid="{00000000-0005-0000-0000-0000D9000000}"/>
    <cellStyle name="_NHAP" xfId="247" xr:uid="{00000000-0005-0000-0000-0000DA000000}"/>
    <cellStyle name="_NHAP T11" xfId="248" xr:uid="{00000000-0005-0000-0000-0000DB000000}"/>
    <cellStyle name="_PERSONAL" xfId="249" xr:uid="{00000000-0005-0000-0000-0000DC000000}"/>
    <cellStyle name="_PROJECT_CUR" xfId="250" xr:uid="{00000000-0005-0000-0000-0000DD000000}"/>
    <cellStyle name="_SAIC Survey Plan" xfId="251" xr:uid="{00000000-0005-0000-0000-0000DE000000}"/>
    <cellStyle name="_SEAT CKD PART FROM KMC" xfId="252" xr:uid="{00000000-0005-0000-0000-0000DF000000}"/>
    <cellStyle name="_SH100순환부식시험(1)" xfId="253" xr:uid="{00000000-0005-0000-0000-0000E0000000}"/>
    <cellStyle name="_THANG 7-2008" xfId="254" xr:uid="{00000000-0005-0000-0000-0000E1000000}"/>
    <cellStyle name="_THEO DOI LO XE KIA" xfId="255" xr:uid="{00000000-0005-0000-0000-0000E2000000}"/>
    <cellStyle name="_THONG BAO KE HOACH GIAO HANG CAP NHAT 2.4.09" xfId="256" xr:uid="{00000000-0005-0000-0000-0000E3000000}"/>
    <cellStyle name="_tk 103" xfId="257" xr:uid="{00000000-0005-0000-0000-0000E4000000}"/>
    <cellStyle name="_Tong hop" xfId="258" xr:uid="{00000000-0005-0000-0000-0000E5000000}"/>
    <cellStyle name="_TONG HOP T11" xfId="259" xr:uid="{00000000-0005-0000-0000-0000E6000000}"/>
    <cellStyle name="_TONGHOP N-X-T CBU- T3 -09" xfId="260" xr:uid="{00000000-0005-0000-0000-0000E7000000}"/>
    <cellStyle name="_vat tu thang03 nam 2008(kia)" xfId="261" xr:uid="{00000000-0005-0000-0000-0000E8000000}"/>
    <cellStyle name="_XUAT" xfId="262" xr:uid="{00000000-0005-0000-0000-0000E9000000}"/>
    <cellStyle name="_국산화계획" xfId="263" xr:uid="{00000000-0005-0000-0000-0000EA000000}"/>
    <cellStyle name="_부품개발정책(보고중.0915)" xfId="264" xr:uid="{00000000-0005-0000-0000-0000EB000000}"/>
    <cellStyle name="_북경장님보고(0502)1200FULLVER(1)" xfId="265" xr:uid="{00000000-0005-0000-0000-0000EC000000}"/>
    <cellStyle name="_업무분장안0427" xfId="266" xr:uid="{00000000-0005-0000-0000-0000ED000000}"/>
    <cellStyle name="_업무분장안0427_1" xfId="267" xr:uid="{00000000-0005-0000-0000-0000EE000000}"/>
    <cellStyle name="_업무분장안0427_2" xfId="268" xr:uid="{00000000-0005-0000-0000-0000EF000000}"/>
    <cellStyle name="_업무분장안0427_3" xfId="269" xr:uid="{00000000-0005-0000-0000-0000F0000000}"/>
    <cellStyle name="_업무분장안0427_4" xfId="270" xr:uid="{00000000-0005-0000-0000-0000F1000000}"/>
    <cellStyle name="_업무분장안0427_5" xfId="271" xr:uid="{00000000-0005-0000-0000-0000F2000000}"/>
    <cellStyle name="_전창헌-1212-업무추진계획" xfId="272" xr:uid="{00000000-0005-0000-0000-0000F3000000}"/>
    <cellStyle name="_쿠웨이트 수출차 문제점(코스모스)_0717" xfId="273" xr:uid="{00000000-0005-0000-0000-0000F4000000}"/>
    <cellStyle name="_쿠웨이트 수출차 문제점(코스모스)_0717_Book3" xfId="274" xr:uid="{00000000-0005-0000-0000-0000F5000000}"/>
    <cellStyle name="_해외업체평가서(영문본)" xfId="275" xr:uid="{00000000-0005-0000-0000-0000F6000000}"/>
    <cellStyle name="_해외정비고객의목소리" xfId="276" xr:uid="{00000000-0005-0000-0000-0000F7000000}"/>
    <cellStyle name="_해외정비고객의목소리_Book3" xfId="277" xr:uid="{00000000-0005-0000-0000-0000F8000000}"/>
    <cellStyle name="_회의소집" xfId="278" xr:uid="{00000000-0005-0000-0000-0000F9000000}"/>
    <cellStyle name="_회의소집_Book3" xfId="279" xr:uid="{00000000-0005-0000-0000-0000FA000000}"/>
    <cellStyle name="¤@?e_TEST-1 " xfId="280" xr:uid="{00000000-0005-0000-0000-0000FB000000}"/>
    <cellStyle name="°iA¤Aa·A1_10¿u2WA¸ºI " xfId="281" xr:uid="{00000000-0005-0000-0000-0000FC000000}"/>
    <cellStyle name="°iA¤Aa·A2_10¿u2WA¸ºI " xfId="282" xr:uid="{00000000-0005-0000-0000-0000FD000000}"/>
    <cellStyle name="0.0" xfId="283" xr:uid="{00000000-0005-0000-0000-0000FE000000}"/>
    <cellStyle name="1" xfId="284" xr:uid="{00000000-0005-0000-0000-0000FF000000}"/>
    <cellStyle name="1_1127PHM (2)" xfId="285" xr:uid="{00000000-0005-0000-0000-000000010000}"/>
    <cellStyle name="1_1127PHM (4)" xfId="286" xr:uid="{00000000-0005-0000-0000-000001010000}"/>
    <cellStyle name="1_2000PN지침" xfId="287" xr:uid="{00000000-0005-0000-0000-000002010000}"/>
    <cellStyle name="1_918PHM (2)" xfId="288" xr:uid="{00000000-0005-0000-0000-000003010000}"/>
    <cellStyle name="1_97년PI333종합" xfId="289" xr:uid="{00000000-0005-0000-0000-000004010000}"/>
    <cellStyle name="1_CRD판매 (2)" xfId="290" xr:uid="{00000000-0005-0000-0000-000005010000}"/>
    <cellStyle name="1_MC&amp;다변화" xfId="291" xr:uid="{00000000-0005-0000-0000-000006010000}"/>
    <cellStyle name="1_NHAP" xfId="292" xr:uid="{00000000-0005-0000-0000-000007010000}"/>
    <cellStyle name="1_PDI T1~T6- 2009" xfId="293" xr:uid="{00000000-0005-0000-0000-000008010000}"/>
    <cellStyle name="1_XUAT THANG 9" xfId="294" xr:uid="{00000000-0005-0000-0000-000009010000}"/>
    <cellStyle name="123" xfId="295" xr:uid="{00000000-0005-0000-0000-00000A010000}"/>
    <cellStyle name="123 2" xfId="296" xr:uid="{00000000-0005-0000-0000-00000B010000}"/>
    <cellStyle name="123 3" xfId="297" xr:uid="{00000000-0005-0000-0000-00000C010000}"/>
    <cellStyle name="15" xfId="298" xr:uid="{00000000-0005-0000-0000-00000D010000}"/>
    <cellStyle name="18.1" xfId="299" xr:uid="{00000000-0005-0000-0000-00000E010000}"/>
    <cellStyle name="1991-" xfId="300" xr:uid="{00000000-0005-0000-0000-00000F010000}"/>
    <cellStyle name="1991- 2" xfId="2123" xr:uid="{00000000-0005-0000-0000-000010010000}"/>
    <cellStyle name="2" xfId="301" xr:uid="{00000000-0005-0000-0000-000011010000}"/>
    <cellStyle name="2)" xfId="302" xr:uid="{00000000-0005-0000-0000-000012010000}"/>
    <cellStyle name="20% - Accent1 2" xfId="303" xr:uid="{00000000-0005-0000-0000-000013010000}"/>
    <cellStyle name="20% - Accent2 2" xfId="304" xr:uid="{00000000-0005-0000-0000-000014010000}"/>
    <cellStyle name="20% - Accent3 2" xfId="305" xr:uid="{00000000-0005-0000-0000-000015010000}"/>
    <cellStyle name="20% - Accent4 2" xfId="306" xr:uid="{00000000-0005-0000-0000-000016010000}"/>
    <cellStyle name="20% - Accent5 2" xfId="307" xr:uid="{00000000-0005-0000-0000-000017010000}"/>
    <cellStyle name="20% - Accent6 2" xfId="308" xr:uid="{00000000-0005-0000-0000-000018010000}"/>
    <cellStyle name="20% - 강조색1" xfId="309" xr:uid="{00000000-0005-0000-0000-000019010000}"/>
    <cellStyle name="20% - 강조색2" xfId="310" xr:uid="{00000000-0005-0000-0000-00001A010000}"/>
    <cellStyle name="20% - 강조색3" xfId="311" xr:uid="{00000000-0005-0000-0000-00001B010000}"/>
    <cellStyle name="20% - 강조색4" xfId="312" xr:uid="{00000000-0005-0000-0000-00001C010000}"/>
    <cellStyle name="20% - 강조색5" xfId="313" xr:uid="{00000000-0005-0000-0000-00001D010000}"/>
    <cellStyle name="20% - 강조색6" xfId="314" xr:uid="{00000000-0005-0000-0000-00001E010000}"/>
    <cellStyle name="20% - 强调文字颜色 1" xfId="315" xr:uid="{00000000-0005-0000-0000-00001F010000}"/>
    <cellStyle name="20% - 强调文字颜色 2" xfId="316" xr:uid="{00000000-0005-0000-0000-000020010000}"/>
    <cellStyle name="20% - 强调文字颜色 3" xfId="317" xr:uid="{00000000-0005-0000-0000-000021010000}"/>
    <cellStyle name="20% - 强调文字颜色 4" xfId="318" xr:uid="{00000000-0005-0000-0000-000022010000}"/>
    <cellStyle name="20% - 强调文字颜色 5" xfId="319" xr:uid="{00000000-0005-0000-0000-000023010000}"/>
    <cellStyle name="20% - 强调文字颜色 6" xfId="320" xr:uid="{00000000-0005-0000-0000-000024010000}"/>
    <cellStyle name="20% - 輔色1" xfId="321" xr:uid="{00000000-0005-0000-0000-000025010000}"/>
    <cellStyle name="20% - 輔色2" xfId="322" xr:uid="{00000000-0005-0000-0000-000026010000}"/>
    <cellStyle name="20% - 輔色3" xfId="323" xr:uid="{00000000-0005-0000-0000-000027010000}"/>
    <cellStyle name="20% - 輔色4" xfId="324" xr:uid="{00000000-0005-0000-0000-000028010000}"/>
    <cellStyle name="20% - 輔色5" xfId="325" xr:uid="{00000000-0005-0000-0000-000029010000}"/>
    <cellStyle name="20% - 輔色6" xfId="326" xr:uid="{00000000-0005-0000-0000-00002A010000}"/>
    <cellStyle name="3" xfId="327" xr:uid="{00000000-0005-0000-0000-00002B010000}"/>
    <cellStyle name="4" xfId="328" xr:uid="{00000000-0005-0000-0000-00002C010000}"/>
    <cellStyle name="40% - Accent1 2" xfId="329" xr:uid="{00000000-0005-0000-0000-00002D010000}"/>
    <cellStyle name="40% - Accent2 2" xfId="330" xr:uid="{00000000-0005-0000-0000-00002E010000}"/>
    <cellStyle name="40% - Accent3 2" xfId="331" xr:uid="{00000000-0005-0000-0000-00002F010000}"/>
    <cellStyle name="40% - Accent4 2" xfId="332" xr:uid="{00000000-0005-0000-0000-000030010000}"/>
    <cellStyle name="40% - Accent5 2" xfId="333" xr:uid="{00000000-0005-0000-0000-000031010000}"/>
    <cellStyle name="40% - Accent6 2" xfId="334" xr:uid="{00000000-0005-0000-0000-000032010000}"/>
    <cellStyle name="40% - 강조색1" xfId="335" xr:uid="{00000000-0005-0000-0000-000033010000}"/>
    <cellStyle name="40% - 강조색2" xfId="336" xr:uid="{00000000-0005-0000-0000-000034010000}"/>
    <cellStyle name="40% - 강조색3" xfId="337" xr:uid="{00000000-0005-0000-0000-000035010000}"/>
    <cellStyle name="40% - 강조색4" xfId="338" xr:uid="{00000000-0005-0000-0000-000036010000}"/>
    <cellStyle name="40% - 강조색5" xfId="339" xr:uid="{00000000-0005-0000-0000-000037010000}"/>
    <cellStyle name="40% - 강조색6" xfId="340" xr:uid="{00000000-0005-0000-0000-000038010000}"/>
    <cellStyle name="40% - 强调文字颜色 1" xfId="341" xr:uid="{00000000-0005-0000-0000-000039010000}"/>
    <cellStyle name="40% - 强调文字颜色 2" xfId="342" xr:uid="{00000000-0005-0000-0000-00003A010000}"/>
    <cellStyle name="40% - 强调文字颜色 3" xfId="343" xr:uid="{00000000-0005-0000-0000-00003B010000}"/>
    <cellStyle name="40% - 强调文字颜色 4" xfId="344" xr:uid="{00000000-0005-0000-0000-00003C010000}"/>
    <cellStyle name="40% - 强调文字颜色 5" xfId="345" xr:uid="{00000000-0005-0000-0000-00003D010000}"/>
    <cellStyle name="40% - 强调文字颜色 6" xfId="346" xr:uid="{00000000-0005-0000-0000-00003E010000}"/>
    <cellStyle name="40% - 輔色1" xfId="347" xr:uid="{00000000-0005-0000-0000-00003F010000}"/>
    <cellStyle name="40% - 輔色2" xfId="348" xr:uid="{00000000-0005-0000-0000-000040010000}"/>
    <cellStyle name="40% - 輔色3" xfId="349" xr:uid="{00000000-0005-0000-0000-000041010000}"/>
    <cellStyle name="40% - 輔色4" xfId="350" xr:uid="{00000000-0005-0000-0000-000042010000}"/>
    <cellStyle name="40% - 輔色5" xfId="351" xr:uid="{00000000-0005-0000-0000-000043010000}"/>
    <cellStyle name="40% - 輔色6" xfId="352" xr:uid="{00000000-0005-0000-0000-000044010000}"/>
    <cellStyle name="60% - Accent1 2" xfId="353" xr:uid="{00000000-0005-0000-0000-000045010000}"/>
    <cellStyle name="60% - Accent2 2" xfId="354" xr:uid="{00000000-0005-0000-0000-000046010000}"/>
    <cellStyle name="60% - Accent3 2" xfId="355" xr:uid="{00000000-0005-0000-0000-000047010000}"/>
    <cellStyle name="60% - Accent4 2" xfId="356" xr:uid="{00000000-0005-0000-0000-000048010000}"/>
    <cellStyle name="60% - Accent5 2" xfId="357" xr:uid="{00000000-0005-0000-0000-000049010000}"/>
    <cellStyle name="60% - Accent6 2" xfId="358" xr:uid="{00000000-0005-0000-0000-00004A010000}"/>
    <cellStyle name="60% - 강조색1" xfId="359" xr:uid="{00000000-0005-0000-0000-00004B010000}"/>
    <cellStyle name="60% - 강조색2" xfId="360" xr:uid="{00000000-0005-0000-0000-00004C010000}"/>
    <cellStyle name="60% - 강조색3" xfId="361" xr:uid="{00000000-0005-0000-0000-00004D010000}"/>
    <cellStyle name="60% - 강조색4" xfId="362" xr:uid="{00000000-0005-0000-0000-00004E010000}"/>
    <cellStyle name="60% - 강조색5" xfId="363" xr:uid="{00000000-0005-0000-0000-00004F010000}"/>
    <cellStyle name="60% - 강조색6" xfId="364" xr:uid="{00000000-0005-0000-0000-000050010000}"/>
    <cellStyle name="60% - 强调文字颜色 1" xfId="365" xr:uid="{00000000-0005-0000-0000-000051010000}"/>
    <cellStyle name="60% - 强调文字颜色 2" xfId="366" xr:uid="{00000000-0005-0000-0000-000052010000}"/>
    <cellStyle name="60% - 强调文字颜色 3" xfId="367" xr:uid="{00000000-0005-0000-0000-000053010000}"/>
    <cellStyle name="60% - 强调文字颜色 4" xfId="368" xr:uid="{00000000-0005-0000-0000-000054010000}"/>
    <cellStyle name="60% - 强调文字颜色 5" xfId="369" xr:uid="{00000000-0005-0000-0000-000055010000}"/>
    <cellStyle name="60% - 强调文字颜色 6" xfId="370" xr:uid="{00000000-0005-0000-0000-000056010000}"/>
    <cellStyle name="60% - 輔色1" xfId="371" xr:uid="{00000000-0005-0000-0000-000057010000}"/>
    <cellStyle name="60% - 輔色2" xfId="372" xr:uid="{00000000-0005-0000-0000-000058010000}"/>
    <cellStyle name="60% - 輔色3" xfId="373" xr:uid="{00000000-0005-0000-0000-000059010000}"/>
    <cellStyle name="60% - 輔色4" xfId="374" xr:uid="{00000000-0005-0000-0000-00005A010000}"/>
    <cellStyle name="60% - 輔色5" xfId="375" xr:uid="{00000000-0005-0000-0000-00005B010000}"/>
    <cellStyle name="60% - 輔色6" xfId="376" xr:uid="{00000000-0005-0000-0000-00005C010000}"/>
    <cellStyle name="A¨­￠￢￠O [0]_¨uoAOCaA￠´¨oA¡io " xfId="377" xr:uid="{00000000-0005-0000-0000-00005D010000}"/>
    <cellStyle name="A¨­￠￢￠O_¨uoAOCaA￠´¨oA¡io " xfId="378" xr:uid="{00000000-0005-0000-0000-00005E010000}"/>
    <cellStyle name="Accent1 2" xfId="379" xr:uid="{00000000-0005-0000-0000-00005F010000}"/>
    <cellStyle name="Accent2 2" xfId="380" xr:uid="{00000000-0005-0000-0000-000060010000}"/>
    <cellStyle name="Accent3 2" xfId="381" xr:uid="{00000000-0005-0000-0000-000061010000}"/>
    <cellStyle name="Accent4 2" xfId="382" xr:uid="{00000000-0005-0000-0000-000062010000}"/>
    <cellStyle name="Accent5 2" xfId="383" xr:uid="{00000000-0005-0000-0000-000063010000}"/>
    <cellStyle name="Accent6 2" xfId="384" xr:uid="{00000000-0005-0000-0000-000064010000}"/>
    <cellStyle name="AeE­ [0]_          " xfId="385" xr:uid="{00000000-0005-0000-0000-000065010000}"/>
    <cellStyle name="ÅëÈ­ [0]_¡Ú¾ÈÜ¬ Á¾ÇÕºñ±³ " xfId="386" xr:uid="{00000000-0005-0000-0000-000066010000}"/>
    <cellStyle name="AeE­ [0]_¸i¿¹E¸Aa°EAa " xfId="387" xr:uid="{00000000-0005-0000-0000-000067010000}"/>
    <cellStyle name="ÅëÈ­ [0]_¿ì¹°Åë" xfId="388" xr:uid="{00000000-0005-0000-0000-000068010000}"/>
    <cellStyle name="AeE­ [0]_°æAi≫cAc°i " xfId="389" xr:uid="{00000000-0005-0000-0000-000069010000}"/>
    <cellStyle name="ÅëÈ­ [0]_¼­½ÄÃ¼01_ÅõÀÔ°èÈ¹ " xfId="390" xr:uid="{00000000-0005-0000-0000-00006A010000}"/>
    <cellStyle name="AeE­ [0]_¼­½AAI¶÷_AoAO°eE¹ " xfId="391" xr:uid="{00000000-0005-0000-0000-00006B010000}"/>
    <cellStyle name="ÅëÈ­ [0]_¼­½ÄÀÏ¶÷_ÅõÀÔ°èÈ¹ " xfId="392" xr:uid="{00000000-0005-0000-0000-00006C010000}"/>
    <cellStyle name="AeE­ [0]_¼oAOCaA¤½A≫o " xfId="393" xr:uid="{00000000-0005-0000-0000-00006D010000}"/>
    <cellStyle name="ÅëÈ­ [0]_1.ÆÇ¸Å½ÇÀû " xfId="394" xr:uid="{00000000-0005-0000-0000-00006E010000}"/>
    <cellStyle name="AeE­ [0]_1.SUMMARY " xfId="395" xr:uid="{00000000-0005-0000-0000-00006F010000}"/>
    <cellStyle name="ÅëÈ­ [0]_1.SUMMARY " xfId="396" xr:uid="{00000000-0005-0000-0000-000070010000}"/>
    <cellStyle name="AeE­ [0]_2.CONCEPT " xfId="397" xr:uid="{00000000-0005-0000-0000-000071010000}"/>
    <cellStyle name="ÅëÈ­ [0]_2.CONCEPT " xfId="398" xr:uid="{00000000-0005-0000-0000-000072010000}"/>
    <cellStyle name="AeE­ [0]_3.MSCHEDULE¿μ¹R " xfId="399" xr:uid="{00000000-0005-0000-0000-000073010000}"/>
    <cellStyle name="ÅëÈ­ [0]_3PJTR°èÈ¹ " xfId="400" xr:uid="{00000000-0005-0000-0000-000074010000}"/>
    <cellStyle name="AeE­ [0]_4 " xfId="401" xr:uid="{00000000-0005-0000-0000-000075010000}"/>
    <cellStyle name="ÅëÈ­ [0]_4 " xfId="402" xr:uid="{00000000-0005-0000-0000-000076010000}"/>
    <cellStyle name="AeE­ [0]_5-3-3-1-1.≫y≫e±¸A¶ºÐ¼R-MAT'L¡­ " xfId="403" xr:uid="{00000000-0005-0000-0000-000077010000}"/>
    <cellStyle name="ÅëÈ­ [0]_6-3°æÀï·Â " xfId="404" xr:uid="{00000000-0005-0000-0000-000078010000}"/>
    <cellStyle name="AeE­ [0]_96°eE¹ " xfId="405" xr:uid="{00000000-0005-0000-0000-000079010000}"/>
    <cellStyle name="ÅëÈ­ [0]_96°èÈ¹ " xfId="406" xr:uid="{00000000-0005-0000-0000-00007A010000}"/>
    <cellStyle name="AeE­ [0]_96¾Æ½OBD " xfId="407" xr:uid="{00000000-0005-0000-0000-00007B010000}"/>
    <cellStyle name="ÅëÈ­ [0]_À¯Çüº°ÀüÃ¼(¿ï»ê°øÀå)  " xfId="408" xr:uid="{00000000-0005-0000-0000-00007C010000}"/>
    <cellStyle name="AeE­ [0]_A÷·E_CO¸RE­¾E " xfId="409" xr:uid="{00000000-0005-0000-0000-00007D010000}"/>
    <cellStyle name="ÅëÈ­ [0]_ÀÎ¿ø°èÈ¹ " xfId="410" xr:uid="{00000000-0005-0000-0000-00007E010000}"/>
    <cellStyle name="AeE­ [0]_AN°yº¸°i-Aß°¡Ay°¨ " xfId="411" xr:uid="{00000000-0005-0000-0000-00007F010000}"/>
    <cellStyle name="ÅëÈ­ [0]_INQUIRY ¿µ¾÷ÃßÁø " xfId="412" xr:uid="{00000000-0005-0000-0000-000080010000}"/>
    <cellStyle name="AeE­ [0]_INQUIRY ¿μ¾÷AßAø " xfId="413" xr:uid="{00000000-0005-0000-0000-000081010000}"/>
    <cellStyle name="ÅëÈ­ [0]_lx-taxi " xfId="414" xr:uid="{00000000-0005-0000-0000-000082010000}"/>
    <cellStyle name="AeE­ [0]_lx-taxi _±¸¸A½CAu " xfId="415" xr:uid="{00000000-0005-0000-0000-000083010000}"/>
    <cellStyle name="ÅëÈ­ [0]_MKN-M1.1 " xfId="416" xr:uid="{00000000-0005-0000-0000-000084010000}"/>
    <cellStyle name="AeE­ [0]_º≫ºIA¶A÷ " xfId="417" xr:uid="{00000000-0005-0000-0000-000085010000}"/>
    <cellStyle name="ÅëÈ­ [0]_ºÐ·ù±â01_ÅõÀÔ°èÈ¹ " xfId="418" xr:uid="{00000000-0005-0000-0000-000086010000}"/>
    <cellStyle name="AeE­ [0]_SAMPLE " xfId="419" xr:uid="{00000000-0005-0000-0000-000087010000}"/>
    <cellStyle name="ÅëÈ­ [0]_SAMPLE " xfId="420" xr:uid="{00000000-0005-0000-0000-000088010000}"/>
    <cellStyle name="AeE­ [0]_Sheet1 (2)_1.SUMMARY " xfId="421" xr:uid="{00000000-0005-0000-0000-000089010000}"/>
    <cellStyle name="ÅëÈ­ [0]_Sheet1 (2)_1.SUMMARY " xfId="422" xr:uid="{00000000-0005-0000-0000-00008A010000}"/>
    <cellStyle name="AeE­ [0]_Sheet1 (2)_3.MSCHEDULE¿μ¹R " xfId="423" xr:uid="{00000000-0005-0000-0000-00008B010000}"/>
    <cellStyle name="ÅëÈ­ [0]_Sheet1_1.SUMMARY " xfId="424" xr:uid="{00000000-0005-0000-0000-00008C010000}"/>
    <cellStyle name="AeE­ [0]_Sheet1_3.MSCHEDULE¿μ¹R " xfId="425" xr:uid="{00000000-0005-0000-0000-00008D010000}"/>
    <cellStyle name="ÅëÈ­ [0]_Sheet1_ÃÖÁ¾ÀÏÁ¤ " xfId="426" xr:uid="{00000000-0005-0000-0000-00008E010000}"/>
    <cellStyle name="AeE­ [0]_Sheet1_XD AOA¾AIA¤ " xfId="427" xr:uid="{00000000-0005-0000-0000-00008F010000}"/>
    <cellStyle name="ÅëÈ­ [0]_Sheet1_XD ÃÖÁ¾ÀÏÁ¤ " xfId="428" xr:uid="{00000000-0005-0000-0000-000090010000}"/>
    <cellStyle name="AeE­ [0]_SMG-CKD-d1.1 " xfId="429" xr:uid="{00000000-0005-0000-0000-000091010000}"/>
    <cellStyle name="ÅëÈ­ [0]_SMG-CKD-d1.1 " xfId="430" xr:uid="{00000000-0005-0000-0000-000092010000}"/>
    <cellStyle name="AeE­ [0]_XD±aAØ " xfId="431" xr:uid="{00000000-0005-0000-0000-000093010000}"/>
    <cellStyle name="AeE­_          " xfId="432" xr:uid="{00000000-0005-0000-0000-000094010000}"/>
    <cellStyle name="ÅëÈ­_¡Ú¾ÈÜ¬ Á¾ÇÕºñ±³ " xfId="433" xr:uid="{00000000-0005-0000-0000-000095010000}"/>
    <cellStyle name="AeE­_¸i¿¹E¸Aa°EAa " xfId="434" xr:uid="{00000000-0005-0000-0000-000096010000}"/>
    <cellStyle name="ÅëÈ­_¿ì¹°Åë" xfId="435" xr:uid="{00000000-0005-0000-0000-000097010000}"/>
    <cellStyle name="AeE­_°æAi≫cAc°i " xfId="436" xr:uid="{00000000-0005-0000-0000-000098010000}"/>
    <cellStyle name="ÅëÈ­_¼­½ÄÃ¼01_ÅõÀÔ°èÈ¹ " xfId="437" xr:uid="{00000000-0005-0000-0000-000099010000}"/>
    <cellStyle name="AeE­_¼­½AAI¶÷_AoAO°eE¹ " xfId="438" xr:uid="{00000000-0005-0000-0000-00009A010000}"/>
    <cellStyle name="ÅëÈ­_¼­½ÄÀÏ¶÷_ÅõÀÔ°èÈ¹ " xfId="439" xr:uid="{00000000-0005-0000-0000-00009B010000}"/>
    <cellStyle name="AeE­_¼oAOCaA¤½A≫o " xfId="440" xr:uid="{00000000-0005-0000-0000-00009C010000}"/>
    <cellStyle name="ÅëÈ­_1.ÆÇ¸Å½ÇÀû " xfId="441" xr:uid="{00000000-0005-0000-0000-00009D010000}"/>
    <cellStyle name="AeE­_1.SUMMARY " xfId="442" xr:uid="{00000000-0005-0000-0000-00009E010000}"/>
    <cellStyle name="ÅëÈ­_1.SUMMARY " xfId="443" xr:uid="{00000000-0005-0000-0000-00009F010000}"/>
    <cellStyle name="AeE­_2.CONCEPT " xfId="444" xr:uid="{00000000-0005-0000-0000-0000A0010000}"/>
    <cellStyle name="ÅëÈ­_2.CONCEPT " xfId="445" xr:uid="{00000000-0005-0000-0000-0000A1010000}"/>
    <cellStyle name="AeE­_3.MSCHEDULE¿μ¹R " xfId="446" xr:uid="{00000000-0005-0000-0000-0000A2010000}"/>
    <cellStyle name="ÅëÈ­_3PJTR°èÈ¹ " xfId="447" xr:uid="{00000000-0005-0000-0000-0000A3010000}"/>
    <cellStyle name="AeE­_4 " xfId="448" xr:uid="{00000000-0005-0000-0000-0000A4010000}"/>
    <cellStyle name="ÅëÈ­_4 " xfId="449" xr:uid="{00000000-0005-0000-0000-0000A5010000}"/>
    <cellStyle name="AeE­_5-3-3-1-1.≫y≫e±¸A¶ºÐ¼R-MAT'L¡­ " xfId="450" xr:uid="{00000000-0005-0000-0000-0000A6010000}"/>
    <cellStyle name="ÅëÈ­_6-3°æÀï·Â " xfId="451" xr:uid="{00000000-0005-0000-0000-0000A7010000}"/>
    <cellStyle name="AeE­_96°eE¹ " xfId="452" xr:uid="{00000000-0005-0000-0000-0000A8010000}"/>
    <cellStyle name="ÅëÈ­_96°èÈ¹ " xfId="453" xr:uid="{00000000-0005-0000-0000-0000A9010000}"/>
    <cellStyle name="AeE­_96¾Æ½OBD " xfId="454" xr:uid="{00000000-0005-0000-0000-0000AA010000}"/>
    <cellStyle name="ÅëÈ­_À¯Çüº°ÀüÃ¼(¿ï»ê°øÀå)  " xfId="455" xr:uid="{00000000-0005-0000-0000-0000AB010000}"/>
    <cellStyle name="AeE­_A÷·E_CO¸RE­¾E " xfId="456" xr:uid="{00000000-0005-0000-0000-0000AC010000}"/>
    <cellStyle name="ÅëÈ­_ÀÎ¿ø°èÈ¹ " xfId="457" xr:uid="{00000000-0005-0000-0000-0000AD010000}"/>
    <cellStyle name="AeE­_AN°yº¸°i-Aß°¡Ay°¨ " xfId="458" xr:uid="{00000000-0005-0000-0000-0000AE010000}"/>
    <cellStyle name="ÅëÈ­_INQUIRY ¿µ¾÷ÃßÁø " xfId="459" xr:uid="{00000000-0005-0000-0000-0000AF010000}"/>
    <cellStyle name="AeE­_INQUIRY ¿μ¾÷AßAø " xfId="460" xr:uid="{00000000-0005-0000-0000-0000B0010000}"/>
    <cellStyle name="ÅëÈ­_lx-taxi " xfId="461" xr:uid="{00000000-0005-0000-0000-0000B1010000}"/>
    <cellStyle name="AeE­_lx-taxi _±¸¸A½CAu " xfId="462" xr:uid="{00000000-0005-0000-0000-0000B2010000}"/>
    <cellStyle name="ÅëÈ­_MKN-M1.1 " xfId="463" xr:uid="{00000000-0005-0000-0000-0000B3010000}"/>
    <cellStyle name="AeE­_º≫ºIA¶A÷ " xfId="464" xr:uid="{00000000-0005-0000-0000-0000B4010000}"/>
    <cellStyle name="ÅëÈ­_ºÐ·ù±â01_ÅõÀÔ°èÈ¹ " xfId="465" xr:uid="{00000000-0005-0000-0000-0000B5010000}"/>
    <cellStyle name="AeE­_SAMPLE " xfId="466" xr:uid="{00000000-0005-0000-0000-0000B6010000}"/>
    <cellStyle name="ÅëÈ­_SAMPLE " xfId="467" xr:uid="{00000000-0005-0000-0000-0000B7010000}"/>
    <cellStyle name="AeE­_Sheet1 (2)_1.SUMMARY " xfId="468" xr:uid="{00000000-0005-0000-0000-0000B8010000}"/>
    <cellStyle name="ÅëÈ­_Sheet1 (2)_1.SUMMARY " xfId="469" xr:uid="{00000000-0005-0000-0000-0000B9010000}"/>
    <cellStyle name="AeE­_Sheet1 (2)_3.MSCHEDULE¿μ¹R " xfId="470" xr:uid="{00000000-0005-0000-0000-0000BA010000}"/>
    <cellStyle name="ÅëÈ­_Sheet1_1.SUMMARY " xfId="471" xr:uid="{00000000-0005-0000-0000-0000BB010000}"/>
    <cellStyle name="AeE­_Sheet1_3.MSCHEDULE¿μ¹R " xfId="472" xr:uid="{00000000-0005-0000-0000-0000BC010000}"/>
    <cellStyle name="ÅëÈ­_Sheet1_ÃÖÁ¾ÀÏÁ¤ " xfId="473" xr:uid="{00000000-0005-0000-0000-0000BD010000}"/>
    <cellStyle name="AeE­_Sheet1_XD AOA¾AIA¤ " xfId="474" xr:uid="{00000000-0005-0000-0000-0000BE010000}"/>
    <cellStyle name="ÅëÈ­_Sheet1_XD ÃÖÁ¾ÀÏÁ¤ " xfId="475" xr:uid="{00000000-0005-0000-0000-0000BF010000}"/>
    <cellStyle name="AeE­_SMG-CKD-d1.1 " xfId="476" xr:uid="{00000000-0005-0000-0000-0000C0010000}"/>
    <cellStyle name="ÅëÈ­_SMG-CKD-d1.1 " xfId="477" xr:uid="{00000000-0005-0000-0000-0000C1010000}"/>
    <cellStyle name="AeE­_XD±aAØ " xfId="478" xr:uid="{00000000-0005-0000-0000-0000C2010000}"/>
    <cellStyle name="ÅëÈ­_XG¿ø´ÜÀ§ " xfId="479" xr:uid="{00000000-0005-0000-0000-0000C3010000}"/>
    <cellStyle name="AeE­_μðAⓒAIA¤ " xfId="480" xr:uid="{00000000-0005-0000-0000-0000C4010000}"/>
    <cellStyle name="AeE¡ⓒ [0]_¨uoAOCaA￠´¨oA¡io " xfId="481" xr:uid="{00000000-0005-0000-0000-0000C5010000}"/>
    <cellStyle name="AeE¡ⓒ_¨uoAOCaA￠´¨oA¡io " xfId="482" xr:uid="{00000000-0005-0000-0000-0000C6010000}"/>
    <cellStyle name="AÞ¸¶ [0]_          " xfId="483" xr:uid="{00000000-0005-0000-0000-0000C7010000}"/>
    <cellStyle name="ÄÞ¸¶ [0]_¡Ú¾ÈÜ¬ Á¾ÇÕºñ±³ " xfId="484" xr:uid="{00000000-0005-0000-0000-0000C8010000}"/>
    <cellStyle name="AÞ¸¶ [0]_¸i¿¹E¸Aa°EAa " xfId="485" xr:uid="{00000000-0005-0000-0000-0000C9010000}"/>
    <cellStyle name="ÄÞ¸¶ [0]_¿ì¹°Åë" xfId="486" xr:uid="{00000000-0005-0000-0000-0000CA010000}"/>
    <cellStyle name="AÞ¸¶ [0]_°æAi≫cAc°i " xfId="487" xr:uid="{00000000-0005-0000-0000-0000CB010000}"/>
    <cellStyle name="ÄÞ¸¶ [0]_¼öÀÔÇàÁ¤½Å»ó " xfId="488" xr:uid="{00000000-0005-0000-0000-0000CC010000}"/>
    <cellStyle name="AÞ¸¶ [0]_1-3¿u " xfId="489" xr:uid="{00000000-0005-0000-0000-0000CD010000}"/>
    <cellStyle name="ÄÞ¸¶ [0]_1-3¿ù " xfId="490" xr:uid="{00000000-0005-0000-0000-0000CE010000}"/>
    <cellStyle name="AÞ¸¶ [0]_1-5¿u " xfId="491" xr:uid="{00000000-0005-0000-0000-0000CF010000}"/>
    <cellStyle name="ÄÞ¸¶ [0]_2.CONCEPT " xfId="492" xr:uid="{00000000-0005-0000-0000-0000D0010000}"/>
    <cellStyle name="AÞ¸¶ [0]_3.MSCHEDULE¿μ¹R " xfId="493" xr:uid="{00000000-0005-0000-0000-0000D1010000}"/>
    <cellStyle name="ÄÞ¸¶ [0]_3¿ù´©°è " xfId="494" xr:uid="{00000000-0005-0000-0000-0000D2010000}"/>
    <cellStyle name="AÞ¸¶ [0]_3¿u´ⓒ°e " xfId="495" xr:uid="{00000000-0005-0000-0000-0000D3010000}"/>
    <cellStyle name="ÄÞ¸¶ [0]_3PJTR°èÈ¹ " xfId="496" xr:uid="{00000000-0005-0000-0000-0000D4010000}"/>
    <cellStyle name="AÞ¸¶ [0]_4 " xfId="497" xr:uid="{00000000-0005-0000-0000-0000D5010000}"/>
    <cellStyle name="ÄÞ¸¶ [0]_4 " xfId="498" xr:uid="{00000000-0005-0000-0000-0000D6010000}"/>
    <cellStyle name="AÞ¸¶ [0]_6-3°æAi·A " xfId="499" xr:uid="{00000000-0005-0000-0000-0000D7010000}"/>
    <cellStyle name="ÄÞ¸¶ [0]_6-3°æÀï·Â " xfId="500" xr:uid="{00000000-0005-0000-0000-0000D8010000}"/>
    <cellStyle name="AÞ¸¶ [0]_96°eE¹ " xfId="501" xr:uid="{00000000-0005-0000-0000-0000D9010000}"/>
    <cellStyle name="ÄÞ¸¶ [0]_96°èÈ¹ " xfId="502" xr:uid="{00000000-0005-0000-0000-0000DA010000}"/>
    <cellStyle name="AÞ¸¶ [0]_96¾Æ½OBD " xfId="503" xr:uid="{00000000-0005-0000-0000-0000DB010000}"/>
    <cellStyle name="ÄÞ¸¶ [0]_À¯Çüº°ÀüÃ¼(¿ï»ê°øÀå)  " xfId="504" xr:uid="{00000000-0005-0000-0000-0000DC010000}"/>
    <cellStyle name="AÞ¸¶ [0]_A÷A¼¼³°e " xfId="505" xr:uid="{00000000-0005-0000-0000-0000DD010000}"/>
    <cellStyle name="ÄÞ¸¶ [0]_ÀÎ¿ø°èÈ¹ " xfId="506" xr:uid="{00000000-0005-0000-0000-0000DE010000}"/>
    <cellStyle name="AÞ¸¶ [0]_AN°yº¸°i-Aß°¡Ay°¨ " xfId="507" xr:uid="{00000000-0005-0000-0000-0000DF010000}"/>
    <cellStyle name="ÄÞ¸¶ [0]_ÇùÁ¶Àü_96°èÈ¹ " xfId="508" xr:uid="{00000000-0005-0000-0000-0000E0010000}"/>
    <cellStyle name="AÞ¸¶ [0]_DW °¡¸¶°¨ " xfId="509" xr:uid="{00000000-0005-0000-0000-0000E1010000}"/>
    <cellStyle name="ÄÞ¸¶ [0]_INQUIRY ¿µ¾÷ÃßÁø " xfId="510" xr:uid="{00000000-0005-0000-0000-0000E2010000}"/>
    <cellStyle name="AÞ¸¶ [0]_INQUIRY ¿μ¾÷AßAø " xfId="511" xr:uid="{00000000-0005-0000-0000-0000E3010000}"/>
    <cellStyle name="ÄÞ¸¶ [0]_lx-taxi " xfId="512" xr:uid="{00000000-0005-0000-0000-0000E4010000}"/>
    <cellStyle name="AÞ¸¶ [0]_lx-taxi _±¸¸A½CAu " xfId="513" xr:uid="{00000000-0005-0000-0000-0000E5010000}"/>
    <cellStyle name="ÄÞ¸¶ [0]_MKN-M1.1 " xfId="514" xr:uid="{00000000-0005-0000-0000-0000E6010000}"/>
    <cellStyle name="AÞ¸¶ [0]_º≫ºIA¶A÷ " xfId="515" xr:uid="{00000000-0005-0000-0000-0000E7010000}"/>
    <cellStyle name="ÄÞ¸¶ [0]_SAMPLE " xfId="516" xr:uid="{00000000-0005-0000-0000-0000E8010000}"/>
    <cellStyle name="AÞ¸¶ [0]_Sheet1 (2)_1.SUMMARY " xfId="517" xr:uid="{00000000-0005-0000-0000-0000E9010000}"/>
    <cellStyle name="ÄÞ¸¶ [0]_Sheet1 (2)_1.SUMMARY " xfId="518" xr:uid="{00000000-0005-0000-0000-0000EA010000}"/>
    <cellStyle name="AÞ¸¶ [0]_Sheet1 (2)_3.MSCHEDULE¿μ¹R " xfId="519" xr:uid="{00000000-0005-0000-0000-0000EB010000}"/>
    <cellStyle name="ÄÞ¸¶ [0]_Sheet1_1.SUMMARY " xfId="520" xr:uid="{00000000-0005-0000-0000-0000EC010000}"/>
    <cellStyle name="AÞ¸¶ [0]_Sheet1_3.MSCHEDULE¿μ¹R " xfId="521" xr:uid="{00000000-0005-0000-0000-0000ED010000}"/>
    <cellStyle name="ÄÞ¸¶ [0]_Sheet1_ÃÖÁ¾ÀÏÁ¤ " xfId="522" xr:uid="{00000000-0005-0000-0000-0000EE010000}"/>
    <cellStyle name="AÞ¸¶ [0]_Sheet1_XD AOA¾AIA¤ " xfId="523" xr:uid="{00000000-0005-0000-0000-0000EF010000}"/>
    <cellStyle name="ÄÞ¸¶ [0]_Sheet1_XD ÃÖÁ¾ÀÏÁ¤ " xfId="524" xr:uid="{00000000-0005-0000-0000-0000F0010000}"/>
    <cellStyle name="AÞ¸¶ [0]_SMG-CKD-d1.1 " xfId="525" xr:uid="{00000000-0005-0000-0000-0000F1010000}"/>
    <cellStyle name="ÄÞ¸¶ [0]_SMG-CKD-d1.1 " xfId="526" xr:uid="{00000000-0005-0000-0000-0000F2010000}"/>
    <cellStyle name="AÞ¸¶ [0]_XD±aAØ " xfId="527" xr:uid="{00000000-0005-0000-0000-0000F3010000}"/>
    <cellStyle name="AÞ¸¶_          " xfId="528" xr:uid="{00000000-0005-0000-0000-0000F4010000}"/>
    <cellStyle name="ÄÞ¸¶_¡Ú¾ÈÜ¬ Á¾ÇÕºñ±³ " xfId="529" xr:uid="{00000000-0005-0000-0000-0000F5010000}"/>
    <cellStyle name="AÞ¸¶_¸i¿¹E¸Aa°EAa " xfId="530" xr:uid="{00000000-0005-0000-0000-0000F6010000}"/>
    <cellStyle name="ÄÞ¸¶_¿ì¹°Åë" xfId="531" xr:uid="{00000000-0005-0000-0000-0000F7010000}"/>
    <cellStyle name="AÞ¸¶_°æAi≫cAc°i " xfId="532" xr:uid="{00000000-0005-0000-0000-0000F8010000}"/>
    <cellStyle name="ÄÞ¸¶_¼öÀÔÇàÁ¤½Å»ó " xfId="533" xr:uid="{00000000-0005-0000-0000-0000F9010000}"/>
    <cellStyle name="AÞ¸¶_2.CONCEPT " xfId="534" xr:uid="{00000000-0005-0000-0000-0000FA010000}"/>
    <cellStyle name="ÄÞ¸¶_2.CONCEPT " xfId="535" xr:uid="{00000000-0005-0000-0000-0000FB010000}"/>
    <cellStyle name="AÞ¸¶_3.MSCHEDULE¿μ¹R " xfId="536" xr:uid="{00000000-0005-0000-0000-0000FC010000}"/>
    <cellStyle name="ÄÞ¸¶_3PJTR°èÈ¹ " xfId="537" xr:uid="{00000000-0005-0000-0000-0000FD010000}"/>
    <cellStyle name="AÞ¸¶_4 " xfId="538" xr:uid="{00000000-0005-0000-0000-0000FE010000}"/>
    <cellStyle name="ÄÞ¸¶_4 " xfId="539" xr:uid="{00000000-0005-0000-0000-0000FF010000}"/>
    <cellStyle name="AÞ¸¶_6-3°æAi·A " xfId="540" xr:uid="{00000000-0005-0000-0000-000000020000}"/>
    <cellStyle name="ÄÞ¸¶_6-3°æÀï·Â " xfId="541" xr:uid="{00000000-0005-0000-0000-000001020000}"/>
    <cellStyle name="AÞ¸¶_96°eE¹ " xfId="542" xr:uid="{00000000-0005-0000-0000-000002020000}"/>
    <cellStyle name="ÄÞ¸¶_96°èÈ¹ " xfId="543" xr:uid="{00000000-0005-0000-0000-000003020000}"/>
    <cellStyle name="AÞ¸¶_96¾Æ½OBD " xfId="544" xr:uid="{00000000-0005-0000-0000-000004020000}"/>
    <cellStyle name="ÄÞ¸¶_À¯Çüº°ÀüÃ¼(¿ï»ê°øÀå)  " xfId="545" xr:uid="{00000000-0005-0000-0000-000005020000}"/>
    <cellStyle name="AÞ¸¶_A÷A¼¼³°e " xfId="546" xr:uid="{00000000-0005-0000-0000-000006020000}"/>
    <cellStyle name="ÄÞ¸¶_ÀÎ¿ø°èÈ¹ " xfId="547" xr:uid="{00000000-0005-0000-0000-000007020000}"/>
    <cellStyle name="AÞ¸¶_AN°yº¸°i-Aß°¡Ay°¨ " xfId="548" xr:uid="{00000000-0005-0000-0000-000008020000}"/>
    <cellStyle name="ÄÞ¸¶_ÇùÁ¶Àü_96°èÈ¹ " xfId="549" xr:uid="{00000000-0005-0000-0000-000009020000}"/>
    <cellStyle name="AÞ¸¶_DW °¡¸¶°¨ " xfId="550" xr:uid="{00000000-0005-0000-0000-00000A020000}"/>
    <cellStyle name="ÄÞ¸¶_INQUIRY ¿µ¾÷ÃßÁø " xfId="551" xr:uid="{00000000-0005-0000-0000-00000B020000}"/>
    <cellStyle name="AÞ¸¶_INQUIRY ¿μ¾÷AßAø " xfId="552" xr:uid="{00000000-0005-0000-0000-00000C020000}"/>
    <cellStyle name="ÄÞ¸¶_lx-taxi " xfId="553" xr:uid="{00000000-0005-0000-0000-00000D020000}"/>
    <cellStyle name="AÞ¸¶_lx-taxi _±¸¸A½CAu " xfId="554" xr:uid="{00000000-0005-0000-0000-00000E020000}"/>
    <cellStyle name="ÄÞ¸¶_MKN-M1.1 " xfId="555" xr:uid="{00000000-0005-0000-0000-00000F020000}"/>
    <cellStyle name="AÞ¸¶_º≫ºIA¶A÷ " xfId="556" xr:uid="{00000000-0005-0000-0000-000010020000}"/>
    <cellStyle name="ÄÞ¸¶_SAMPLE " xfId="557" xr:uid="{00000000-0005-0000-0000-000011020000}"/>
    <cellStyle name="AÞ¸¶_Sheet1 (2)_1.SUMMARY " xfId="558" xr:uid="{00000000-0005-0000-0000-000012020000}"/>
    <cellStyle name="ÄÞ¸¶_Sheet1 (2)_1.SUMMARY " xfId="559" xr:uid="{00000000-0005-0000-0000-000013020000}"/>
    <cellStyle name="AÞ¸¶_Sheet1 (2)_3.MSCHEDULE¿μ¹R " xfId="560" xr:uid="{00000000-0005-0000-0000-000014020000}"/>
    <cellStyle name="ÄÞ¸¶_Sheet1_1.SUMMARY " xfId="561" xr:uid="{00000000-0005-0000-0000-000015020000}"/>
    <cellStyle name="AÞ¸¶_Sheet1_3.MSCHEDULE¿μ¹R " xfId="562" xr:uid="{00000000-0005-0000-0000-000016020000}"/>
    <cellStyle name="ÄÞ¸¶_Sheet1_ÃÖÁ¾ÀÏÁ¤ " xfId="563" xr:uid="{00000000-0005-0000-0000-000017020000}"/>
    <cellStyle name="AÞ¸¶_Sheet1_XD AOA¾AIA¤ " xfId="564" xr:uid="{00000000-0005-0000-0000-000018020000}"/>
    <cellStyle name="ÄÞ¸¶_Sheet1_XD ÃÖÁ¾ÀÏÁ¤ " xfId="565" xr:uid="{00000000-0005-0000-0000-000019020000}"/>
    <cellStyle name="AÞ¸¶_SMG-CKD-d1.1 " xfId="566" xr:uid="{00000000-0005-0000-0000-00001A020000}"/>
    <cellStyle name="ÄÞ¸¶_SMG-CKD-d1.1 " xfId="567" xr:uid="{00000000-0005-0000-0000-00001B020000}"/>
    <cellStyle name="AÞ¸¶_XD±aAØ " xfId="568" xr:uid="{00000000-0005-0000-0000-00001C020000}"/>
    <cellStyle name="ÄÞ¸¶_XG¿ø´ÜÀ§ " xfId="569" xr:uid="{00000000-0005-0000-0000-00001D020000}"/>
    <cellStyle name="AÞ¸¶_μðAⓒAIA¤ " xfId="570" xr:uid="{00000000-0005-0000-0000-00001E020000}"/>
    <cellStyle name="Bad 2" xfId="571" xr:uid="{00000000-0005-0000-0000-00001F020000}"/>
    <cellStyle name="Bình thường 2" xfId="12" xr:uid="{00000000-0005-0000-0000-000020020000}"/>
    <cellStyle name="Body" xfId="572" xr:uid="{00000000-0005-0000-0000-000021020000}"/>
    <cellStyle name="C?AØ_¿?¾÷CoE² " xfId="573" xr:uid="{00000000-0005-0000-0000-000022020000}"/>
    <cellStyle name="C¡IA¨ª_¡Æ￠R¨uO￠￢¡ÆAIA￠´_￥iⓒ￡A¨IAIA￠´ " xfId="574" xr:uid="{00000000-0005-0000-0000-000023020000}"/>
    <cellStyle name="C￥AØ_          " xfId="575" xr:uid="{00000000-0005-0000-0000-000024020000}"/>
    <cellStyle name="Ç¥ÁØ_#2(M17)_1" xfId="576" xr:uid="{00000000-0005-0000-0000-000025020000}"/>
    <cellStyle name="C￥AØ_¸i¿¹E¸Aa°EAa " xfId="577" xr:uid="{00000000-0005-0000-0000-000026020000}"/>
    <cellStyle name="Ç¥ÁØ_¸ñÂ÷ " xfId="578" xr:uid="{00000000-0005-0000-0000-000027020000}"/>
    <cellStyle name="C￥AØ_¿ø°¡(AU·a¼oAy) " xfId="579" xr:uid="{00000000-0005-0000-0000-000028020000}"/>
    <cellStyle name="Ç¥ÁØ_±³°¢¼ö·®" xfId="580" xr:uid="{00000000-0005-0000-0000-000029020000}"/>
    <cellStyle name="C￥AØ_±a¾E¿eAo_KDº?μ¿ " xfId="581" xr:uid="{00000000-0005-0000-0000-00002A020000}"/>
    <cellStyle name="Ç¥ÁØ_±âÁØ " xfId="582" xr:uid="{00000000-0005-0000-0000-00002B020000}"/>
    <cellStyle name="C￥AØ_≫c¾÷°³¹ßÆA_10¿u2WA¸ºI " xfId="583" xr:uid="{00000000-0005-0000-0000-00002C020000}"/>
    <cellStyle name="Ç¥ÁØ_°¡¼Ö¸°ÀÏÁ¤_µðÁ©ÀÏÁ¤ " xfId="584" xr:uid="{00000000-0005-0000-0000-00002D020000}"/>
    <cellStyle name="C￥AØ_°¡¼O¸°AIA¤_μðAⓒAIA¤ " xfId="585" xr:uid="{00000000-0005-0000-0000-00002E020000}"/>
    <cellStyle name="Ç¥ÁØ_°³¹ßÀÏÁ¤ " xfId="586" xr:uid="{00000000-0005-0000-0000-00002F020000}"/>
    <cellStyle name="C￥AØ_°³¹ßAIA¤  (2)_°³¹ßAIA¤ " xfId="587" xr:uid="{00000000-0005-0000-0000-000030020000}"/>
    <cellStyle name="Ç¥ÁØ_°³¹ßÀÏÁ¤  (2)_°³¹ßÀÏÁ¤ " xfId="588" xr:uid="{00000000-0005-0000-0000-000031020000}"/>
    <cellStyle name="C￥AØ_°æAi≫cAc°i " xfId="589" xr:uid="{00000000-0005-0000-0000-000032020000}"/>
    <cellStyle name="Ç¥ÁØ_¼öÀÔÇàÁ¤½Å»ó " xfId="590" xr:uid="{00000000-0005-0000-0000-000033020000}"/>
    <cellStyle name="C￥AØ_½CA÷A¶°C _±¸¸A½CAu " xfId="591" xr:uid="{00000000-0005-0000-0000-000034020000}"/>
    <cellStyle name="Ç¥ÁØ_1.SUMMARY " xfId="592" xr:uid="{00000000-0005-0000-0000-000035020000}"/>
    <cellStyle name="C￥AØ_10+10 " xfId="593" xr:uid="{00000000-0005-0000-0000-000036020000}"/>
    <cellStyle name="Ç¥ÁØ_10+10 " xfId="594" xr:uid="{00000000-0005-0000-0000-000037020000}"/>
    <cellStyle name="C￥AØ_1112_10¿u2WA¸ºI " xfId="595" xr:uid="{00000000-0005-0000-0000-000038020000}"/>
    <cellStyle name="Ç¥ÁØ_1Â÷ ¼³°è¿ø°¡ºÐ¼®_KDº¯µ¿ " xfId="596" xr:uid="{00000000-0005-0000-0000-000039020000}"/>
    <cellStyle name="C￥AØ_2.5GLS_¿ø´UA§ " xfId="597" xr:uid="{00000000-0005-0000-0000-00003A020000}"/>
    <cellStyle name="Ç¥ÁØ_2.5GLS_¿ø´ÜÀ§ " xfId="598" xr:uid="{00000000-0005-0000-0000-00003B020000}"/>
    <cellStyle name="C￥AØ_2¿uA¶¸³ " xfId="599" xr:uid="{00000000-0005-0000-0000-00003C020000}"/>
    <cellStyle name="Ç¥ÁØ_3PJTR°èÈ¹ " xfId="600" xr:uid="{00000000-0005-0000-0000-00003D020000}"/>
    <cellStyle name="C￥AØ_4 " xfId="601" xr:uid="{00000000-0005-0000-0000-00003E020000}"/>
    <cellStyle name="Ç¥ÁØ_4 " xfId="602" xr:uid="{00000000-0005-0000-0000-00003F020000}"/>
    <cellStyle name="C￥AØ_5-1±¤°i " xfId="603" xr:uid="{00000000-0005-0000-0000-000040020000}"/>
    <cellStyle name="Ç¥ÁØ_5-1±¤°í " xfId="604" xr:uid="{00000000-0005-0000-0000-000041020000}"/>
    <cellStyle name="C￥AØ_5-3-3-1-1.≫y≫e±¸A¶ºÐ¼R-MAT'L¡­ " xfId="605" xr:uid="{00000000-0005-0000-0000-000042020000}"/>
    <cellStyle name="Ç¥ÁØ_5-4 INDIRECT EP" xfId="606" xr:uid="{00000000-0005-0000-0000-000043020000}"/>
    <cellStyle name="C￥AØ_6-3°æAi·A _±¸¸A½CAu " xfId="607" xr:uid="{00000000-0005-0000-0000-000044020000}"/>
    <cellStyle name="Ç¥ÁØ_7.MASTER SCHEDULE " xfId="608" xr:uid="{00000000-0005-0000-0000-000045020000}"/>
    <cellStyle name="C￥AØ_8HR " xfId="609" xr:uid="{00000000-0005-0000-0000-000046020000}"/>
    <cellStyle name="Ç¥ÁØ_8HR " xfId="610" xr:uid="{00000000-0005-0000-0000-000047020000}"/>
    <cellStyle name="C￥AØ_96¾Æ½OBD " xfId="611" xr:uid="{00000000-0005-0000-0000-000048020000}"/>
    <cellStyle name="Ç¥ÁØ_96ÀÎ¿ø°è2 " xfId="612" xr:uid="{00000000-0005-0000-0000-000049020000}"/>
    <cellStyle name="C￥AØ_A÷¿ø½A≫o_A¶A÷μμ(12.31) " xfId="613" xr:uid="{00000000-0005-0000-0000-00004A020000}"/>
    <cellStyle name="Ç¥ÁØ_Á¶Á÷µµ(12.31) " xfId="614" xr:uid="{00000000-0005-0000-0000-00004B020000}"/>
    <cellStyle name="C￥AØ_A¶A÷μμ(12.31) " xfId="615" xr:uid="{00000000-0005-0000-0000-00004C020000}"/>
    <cellStyle name="Ç¥ÁØ_Ã·ºÎ2 " xfId="616" xr:uid="{00000000-0005-0000-0000-00004D020000}"/>
    <cellStyle name="C￥AØ_A¾CO_8HR " xfId="617" xr:uid="{00000000-0005-0000-0000-00004E020000}"/>
    <cellStyle name="Ç¥ÁØ_Á¾ÇÕ_8HR " xfId="618" xr:uid="{00000000-0005-0000-0000-00004F020000}"/>
    <cellStyle name="C￥AØ_AI¿ø¹× A¶A÷(96.5.2.) _±¸¸A½CAu " xfId="619" xr:uid="{00000000-0005-0000-0000-000050020000}"/>
    <cellStyle name="Ç¥ÁØ_ÁÖ¿äITEMÂ÷ÀÌºñ±³-1_ÀüÈÄ Â÷ÀÌºñ±³ " xfId="620" xr:uid="{00000000-0005-0000-0000-000051020000}"/>
    <cellStyle name="C￥AØ_Ao¿øCoE² " xfId="621" xr:uid="{00000000-0005-0000-0000-000052020000}"/>
    <cellStyle name="Ç¥ÁØ_ÃÖÁ¾ÀÏÁ¤ " xfId="622" xr:uid="{00000000-0005-0000-0000-000053020000}"/>
    <cellStyle name="C￥AØ_AoAUºn(ºI¼­º°,°eA¤º°) " xfId="623" xr:uid="{00000000-0005-0000-0000-000054020000}"/>
    <cellStyle name="Ç¥ÁØ_ÅõÀÚºñ(ºÎ¼­º°,°èÁ¤º°) " xfId="624" xr:uid="{00000000-0005-0000-0000-000055020000}"/>
    <cellStyle name="C￥AØ_Aß±a≫y≫e°eE¹ " xfId="625" xr:uid="{00000000-0005-0000-0000-000056020000}"/>
    <cellStyle name="Ç¥ÁØ_ÀüÈÄ Â÷ÀÌºñ±³ " xfId="626" xr:uid="{00000000-0005-0000-0000-000057020000}"/>
    <cellStyle name="C￥AØ_Ay°eC￥(2¿u) " xfId="627" xr:uid="{00000000-0005-0000-0000-000058020000}"/>
    <cellStyle name="Ç¥ÁØ_BRK¿ø´Ü.XLS " xfId="628" xr:uid="{00000000-0005-0000-0000-000059020000}"/>
    <cellStyle name="C￥AØ_C￥1_¿ø´UA§ " xfId="629" xr:uid="{00000000-0005-0000-0000-00005A020000}"/>
    <cellStyle name="Ç¥ÁØ_Ç¥1_¿ø´ÜÀ§ " xfId="630" xr:uid="{00000000-0005-0000-0000-00005B020000}"/>
    <cellStyle name="C￥AØ_C￥2_¿ø´UA§ " xfId="631" xr:uid="{00000000-0005-0000-0000-00005C020000}"/>
    <cellStyle name="Ç¥ÁØ_Ç¥2_¿ø´ÜÀ§ " xfId="632" xr:uid="{00000000-0005-0000-0000-00005D020000}"/>
    <cellStyle name="C￥AØ_C￥3_¿ø´UA§ " xfId="633" xr:uid="{00000000-0005-0000-0000-00005E020000}"/>
    <cellStyle name="Ç¥ÁØ_Ç¥3_¿ø´ÜÀ§ " xfId="634" xr:uid="{00000000-0005-0000-0000-00005F020000}"/>
    <cellStyle name="C￥AØ_C￥4_¿ø´UA§ " xfId="635" xr:uid="{00000000-0005-0000-0000-000060020000}"/>
    <cellStyle name="Ç¥ÁØ_Ç¥4_¿ø´ÜÀ§ " xfId="636" xr:uid="{00000000-0005-0000-0000-000061020000}"/>
    <cellStyle name="C￥AØ_C￥Ao " xfId="637" xr:uid="{00000000-0005-0000-0000-000062020000}"/>
    <cellStyle name="Ç¥ÁØ_CON¿ø´Ü.XLS " xfId="638" xr:uid="{00000000-0005-0000-0000-000063020000}"/>
    <cellStyle name="C￥AØ_CuA¶Au_1_10¿u2WA¸ºI " xfId="639" xr:uid="{00000000-0005-0000-0000-000064020000}"/>
    <cellStyle name="Ç¥ÁØ_ÇùÁ¶Àü_96°èÈ¹ " xfId="640" xr:uid="{00000000-0005-0000-0000-000065020000}"/>
    <cellStyle name="C￥AØ_EF PAD " xfId="641" xr:uid="{00000000-0005-0000-0000-000066020000}"/>
    <cellStyle name="Ç¥ÁØ_H1 ´ë XG ¿ø´ÜÀ§ " xfId="642" xr:uid="{00000000-0005-0000-0000-000067020000}"/>
    <cellStyle name="C￥AØ_H1VSXGAßA¤¿ø´UA§_¿ø´UA§ " xfId="643" xr:uid="{00000000-0005-0000-0000-000068020000}"/>
    <cellStyle name="Ç¥ÁØ_H1VSXGÃßÁ¤¿ø´ÜÀ§_¿ø´ÜÀ§ " xfId="644" xr:uid="{00000000-0005-0000-0000-000069020000}"/>
    <cellStyle name="C￥AØ_KD LIST_¿ø´UA§ " xfId="645" xr:uid="{00000000-0005-0000-0000-00006A020000}"/>
    <cellStyle name="Ç¥ÁØ_KD LIST_¿ø´ÜÀ§ " xfId="646" xr:uid="{00000000-0005-0000-0000-00006B020000}"/>
    <cellStyle name="C￥AØ_KD LIST_AuEA A÷AIºn±³ " xfId="647" xr:uid="{00000000-0005-0000-0000-00006C020000}"/>
    <cellStyle name="Ç¥ÁØ_KD LIST_ÀüÈÄ Â÷ÀÌºñ±³ " xfId="648" xr:uid="{00000000-0005-0000-0000-00006D020000}"/>
    <cellStyle name="C￥AØ_KPI¾÷A¼ " xfId="649" xr:uid="{00000000-0005-0000-0000-00006E020000}"/>
    <cellStyle name="Ç¥ÁØ_laroux_°³¹ßÀÏÁ¤ " xfId="650" xr:uid="{00000000-0005-0000-0000-00006F020000}"/>
    <cellStyle name="C￥AØ_laroux_°³¹ßAIA¤  (2)_°³¹ßAIA¤ " xfId="651" xr:uid="{00000000-0005-0000-0000-000070020000}"/>
    <cellStyle name="Ç¥ÁØ_laroux_°³¹ßÀÏÁ¤  (2)_°³¹ßÀÏÁ¤ " xfId="652" xr:uid="{00000000-0005-0000-0000-000071020000}"/>
    <cellStyle name="C￥AØ_laroux_1_°³¹ßAIA¤ " xfId="653" xr:uid="{00000000-0005-0000-0000-000072020000}"/>
    <cellStyle name="Ç¥ÁØ_laroux_1_°³¹ßÀÏÁ¤ " xfId="654" xr:uid="{00000000-0005-0000-0000-000073020000}"/>
    <cellStyle name="C￥AØ_laroux_2_°³¹ßAIA¤ " xfId="655" xr:uid="{00000000-0005-0000-0000-000074020000}"/>
    <cellStyle name="Ç¥ÁØ_laroux_2_°³¹ßÀÏÁ¤ " xfId="656" xr:uid="{00000000-0005-0000-0000-000075020000}"/>
    <cellStyle name="C￥AØ_laroux_2_°³¹ßAIA¤ _Book3" xfId="657" xr:uid="{00000000-0005-0000-0000-000076020000}"/>
    <cellStyle name="Ç¥ÁØ_laroux_2_°³¹ßÀÏÁ¤ _Book3" xfId="658" xr:uid="{00000000-0005-0000-0000-000077020000}"/>
    <cellStyle name="C￥AØ_LX A÷AIºn±³_AuEA A÷AIºn±³ " xfId="659" xr:uid="{00000000-0005-0000-0000-000078020000}"/>
    <cellStyle name="Ç¥ÁØ_LX Â÷ÀÌºñ±³_ÀüÈÄ Â÷ÀÌºñ±³ " xfId="660" xr:uid="{00000000-0005-0000-0000-000079020000}"/>
    <cellStyle name="C￥AØ_LXLZ3.0 " xfId="661" xr:uid="{00000000-0005-0000-0000-00007A020000}"/>
    <cellStyle name="Ç¥ÁØ_LXLZ3.0 " xfId="662" xr:uid="{00000000-0005-0000-0000-00007B020000}"/>
    <cellStyle name="C￥AØ_LXLZ3.5 " xfId="663" xr:uid="{00000000-0005-0000-0000-00007C020000}"/>
    <cellStyle name="Ç¥ÁØ_LXLZ3.5 " xfId="664" xr:uid="{00000000-0005-0000-0000-00007D020000}"/>
    <cellStyle name="C￥AØ_LXLZ4.5 " xfId="665" xr:uid="{00000000-0005-0000-0000-00007E020000}"/>
    <cellStyle name="Ç¥ÁØ_LXLZ4.5 " xfId="666" xr:uid="{00000000-0005-0000-0000-00007F020000}"/>
    <cellStyle name="C￥AØ_LXLZEXH_AuEA A÷AIºn±³ " xfId="667" xr:uid="{00000000-0005-0000-0000-000080020000}"/>
    <cellStyle name="Ç¥ÁØ_LXLZEXH_ÀüÈÄ Â÷ÀÌºñ±³ " xfId="668" xr:uid="{00000000-0005-0000-0000-000081020000}"/>
    <cellStyle name="C￥AØ_lx-taxi " xfId="669" xr:uid="{00000000-0005-0000-0000-000082020000}"/>
    <cellStyle name="Ç¥ÁØ_lx-taxi " xfId="670" xr:uid="{00000000-0005-0000-0000-000083020000}"/>
    <cellStyle name="C￥AØ_lx-taxi _±¸¸A½CAu " xfId="671" xr:uid="{00000000-0005-0000-0000-000084020000}"/>
    <cellStyle name="Ç¥ÁØ_LZ3.5´ë4.5_ÀüÈÄ Â÷ÀÌºñ±³ " xfId="672" xr:uid="{00000000-0005-0000-0000-000085020000}"/>
    <cellStyle name="C￥AØ_M105CDT " xfId="673" xr:uid="{00000000-0005-0000-0000-000086020000}"/>
    <cellStyle name="Ç¥ÁØ_MIP LIST_¿ø´ÜÀ§ " xfId="674" xr:uid="{00000000-0005-0000-0000-000087020000}"/>
    <cellStyle name="C￥AØ_MKN-M1.1 " xfId="675" xr:uid="{00000000-0005-0000-0000-000088020000}"/>
    <cellStyle name="Ç¥ÁØ_MKN-M1.1 " xfId="676" xr:uid="{00000000-0005-0000-0000-000089020000}"/>
    <cellStyle name="C￥AØ_º?³≫_¿ø´UA§ " xfId="677" xr:uid="{00000000-0005-0000-0000-00008A020000}"/>
    <cellStyle name="Ç¥ÁØ_º¯µ¿XG-±¸ºÐ,³»¿ë¼öÁ¤_KDº¯µ¿ " xfId="678" xr:uid="{00000000-0005-0000-0000-00008B020000}"/>
    <cellStyle name="C￥AØ_º¸°i_KDº?μ¿ " xfId="679" xr:uid="{00000000-0005-0000-0000-00008C020000}"/>
    <cellStyle name="Ç¥ÁØ_º¸°í_KDº¯µ¿ " xfId="680" xr:uid="{00000000-0005-0000-0000-00008D020000}"/>
    <cellStyle name="C￥AØ_º≫ºIA¶A÷ " xfId="681" xr:uid="{00000000-0005-0000-0000-00008E020000}"/>
    <cellStyle name="Ç¥ÁØ_ºñ±³    " xfId="682" xr:uid="{00000000-0005-0000-0000-00008F020000}"/>
    <cellStyle name="C￥AØ_ORDER (I)_PRINT_0404_10¿u2WA¸ºI " xfId="683" xr:uid="{00000000-0005-0000-0000-000090020000}"/>
    <cellStyle name="Ç¥ÁØ_RDTR99ML " xfId="684" xr:uid="{00000000-0005-0000-0000-000091020000}"/>
    <cellStyle name="C￥AØ_Sheet1 (2)_1.SUMMARY " xfId="685" xr:uid="{00000000-0005-0000-0000-000092020000}"/>
    <cellStyle name="Ç¥ÁØ_Sheet1 (2)_1.SUMMARY " xfId="686" xr:uid="{00000000-0005-0000-0000-000093020000}"/>
    <cellStyle name="C￥AØ_Sheet1 (2)_3.MSCHEDULE¿μ¹R " xfId="687" xr:uid="{00000000-0005-0000-0000-000094020000}"/>
    <cellStyle name="Ç¥ÁØ_Sheet1(2)_¿ø´ÜÀ§ " xfId="688" xr:uid="{00000000-0005-0000-0000-000095020000}"/>
    <cellStyle name="C￥AØ_Sheet1_¿ø´UA§ " xfId="689" xr:uid="{00000000-0005-0000-0000-000096020000}"/>
    <cellStyle name="Ç¥ÁØ_Sheet1_¿ø´ÜÀ§ " xfId="690" xr:uid="{00000000-0005-0000-0000-000097020000}"/>
    <cellStyle name="C￥AØ_Sheet1_1_1.SUMMARY " xfId="691" xr:uid="{00000000-0005-0000-0000-000098020000}"/>
    <cellStyle name="Ç¥ÁØ_Sheet1_1_1.SUMMARY " xfId="692" xr:uid="{00000000-0005-0000-0000-000099020000}"/>
    <cellStyle name="C￥AØ_Sheet1_1_3.MSCHEDULE¿μ¹R " xfId="693" xr:uid="{00000000-0005-0000-0000-00009A020000}"/>
    <cellStyle name="Ç¥ÁØ_Sheet1_1_XD ÃÖÁ¾ÀÏÁ¤ " xfId="694" xr:uid="{00000000-0005-0000-0000-00009B020000}"/>
    <cellStyle name="C￥AØ_Sheet1_3.MSCHEDULE¿μ¹R " xfId="695" xr:uid="{00000000-0005-0000-0000-00009C020000}"/>
    <cellStyle name="Ç¥ÁØ_Sheet1_BRK¿ø´Ü.XLS " xfId="696" xr:uid="{00000000-0005-0000-0000-00009D020000}"/>
    <cellStyle name="C￥AØ_Sheet1_CON¿ø´U.XLS " xfId="697" xr:uid="{00000000-0005-0000-0000-00009E020000}"/>
    <cellStyle name="Ç¥ÁØ_Sheet1_CON¿ø´Ü.XLS " xfId="698" xr:uid="{00000000-0005-0000-0000-00009F020000}"/>
    <cellStyle name="C￥AØ_SMG-CKD-d1.1 " xfId="699" xr:uid="{00000000-0005-0000-0000-0000A0020000}"/>
    <cellStyle name="Ç¥ÁØ_SMG-CKD-d1.1 " xfId="700" xr:uid="{00000000-0005-0000-0000-0000A1020000}"/>
    <cellStyle name="C￥AØ_USAGL_¿ø´UA§ " xfId="701" xr:uid="{00000000-0005-0000-0000-0000A2020000}"/>
    <cellStyle name="Ç¥ÁØ_USAGL_¿ø´ÜÀ§ " xfId="702" xr:uid="{00000000-0005-0000-0000-0000A3020000}"/>
    <cellStyle name="C￥AØ_V10 VARIATION MODEL SOP TIMING " xfId="703" xr:uid="{00000000-0005-0000-0000-0000A4020000}"/>
    <cellStyle name="Ç¥ÁØ_WIPER " xfId="704" xr:uid="{00000000-0005-0000-0000-0000A5020000}"/>
    <cellStyle name="C￥AØ_WIRING " xfId="705" xr:uid="{00000000-0005-0000-0000-0000A6020000}"/>
    <cellStyle name="Ç¥ÁØ_WIRING " xfId="706" xr:uid="{00000000-0005-0000-0000-0000A7020000}"/>
    <cellStyle name="C￥AØ_WIRING _±¸¸A½CAu " xfId="707" xr:uid="{00000000-0005-0000-0000-0000A8020000}"/>
    <cellStyle name="Ç¥ÁØ_XD ÃÖÁ¾ÀÏÁ¤ " xfId="708" xr:uid="{00000000-0005-0000-0000-0000A9020000}"/>
    <cellStyle name="C￥AØ_XD±aAØ " xfId="709" xr:uid="{00000000-0005-0000-0000-0000AA020000}"/>
    <cellStyle name="Ç¥ÁØ_XD±âÁØ " xfId="710" xr:uid="{00000000-0005-0000-0000-0000AB020000}"/>
    <cellStyle name="C￥AØ_XG¿ø´UA§ " xfId="711" xr:uid="{00000000-0005-0000-0000-0000AC020000}"/>
    <cellStyle name="Ç¥ÁØ_XG¿ø´ÜÀ§ " xfId="712" xr:uid="{00000000-0005-0000-0000-0000AD020000}"/>
    <cellStyle name="C￥AØ_XG3A÷°e≫e¿ø´UA§ " xfId="713" xr:uid="{00000000-0005-0000-0000-0000AE020000}"/>
    <cellStyle name="Calc Currency (0)" xfId="714" xr:uid="{00000000-0005-0000-0000-0000AF020000}"/>
    <cellStyle name="Calc Currency (0) 2" xfId="715" xr:uid="{00000000-0005-0000-0000-0000B0020000}"/>
    <cellStyle name="Calc Currency (0) 3" xfId="716" xr:uid="{00000000-0005-0000-0000-0000B1020000}"/>
    <cellStyle name="Calc Currency (2)" xfId="717" xr:uid="{00000000-0005-0000-0000-0000B2020000}"/>
    <cellStyle name="Calc Percent (0)" xfId="718" xr:uid="{00000000-0005-0000-0000-0000B3020000}"/>
    <cellStyle name="Calc Percent (1)" xfId="719" xr:uid="{00000000-0005-0000-0000-0000B4020000}"/>
    <cellStyle name="Calc Percent (2)" xfId="720" xr:uid="{00000000-0005-0000-0000-0000B5020000}"/>
    <cellStyle name="Calc Percent (2) 2" xfId="721" xr:uid="{00000000-0005-0000-0000-0000B6020000}"/>
    <cellStyle name="Calc Percent (2) 3" xfId="722" xr:uid="{00000000-0005-0000-0000-0000B7020000}"/>
    <cellStyle name="Calc Units (0)" xfId="723" xr:uid="{00000000-0005-0000-0000-0000B8020000}"/>
    <cellStyle name="Calc Units (1)" xfId="724" xr:uid="{00000000-0005-0000-0000-0000B9020000}"/>
    <cellStyle name="Calc Units (2)" xfId="725" xr:uid="{00000000-0005-0000-0000-0000BA020000}"/>
    <cellStyle name="Calculation 2" xfId="726" xr:uid="{00000000-0005-0000-0000-0000BB020000}"/>
    <cellStyle name="category" xfId="727" xr:uid="{00000000-0005-0000-0000-0000BC020000}"/>
    <cellStyle name="Check Cell 2" xfId="728" xr:uid="{00000000-0005-0000-0000-0000BD020000}"/>
    <cellStyle name="Chuẩn 2" xfId="2110" xr:uid="{00000000-0005-0000-0000-0000BE020000}"/>
    <cellStyle name="CHUONG" xfId="729" xr:uid="{00000000-0005-0000-0000-0000BF020000}"/>
    <cellStyle name="Comma" xfId="29" builtinId="3"/>
    <cellStyle name="Comma  - Style1" xfId="730" xr:uid="{00000000-0005-0000-0000-0000C1020000}"/>
    <cellStyle name="Comma [0] 2" xfId="731" xr:uid="{00000000-0005-0000-0000-0000C2020000}"/>
    <cellStyle name="Comma [0] 2 2" xfId="2116" xr:uid="{00000000-0005-0000-0000-0000C3020000}"/>
    <cellStyle name="Comma [0] 2 3" xfId="2121" xr:uid="{00000000-0005-0000-0000-0000C4020000}"/>
    <cellStyle name="Comma [00]" xfId="732" xr:uid="{00000000-0005-0000-0000-0000C5020000}"/>
    <cellStyle name="Comma 118" xfId="13" xr:uid="{00000000-0005-0000-0000-0000C6020000}"/>
    <cellStyle name="Comma 14 4" xfId="2136" xr:uid="{00000000-0005-0000-0000-0000C7020000}"/>
    <cellStyle name="Comma 198" xfId="8" xr:uid="{00000000-0005-0000-0000-0000C8020000}"/>
    <cellStyle name="Comma 199" xfId="9" xr:uid="{00000000-0005-0000-0000-0000C9020000}"/>
    <cellStyle name="Comma 2" xfId="7" xr:uid="{00000000-0005-0000-0000-0000CA020000}"/>
    <cellStyle name="Comma 2 2" xfId="14" xr:uid="{00000000-0005-0000-0000-0000CB020000}"/>
    <cellStyle name="Comma 2 2 2" xfId="2117" xr:uid="{00000000-0005-0000-0000-0000CC020000}"/>
    <cellStyle name="Comma 2 3" xfId="2111" xr:uid="{00000000-0005-0000-0000-0000CD020000}"/>
    <cellStyle name="Comma 2 3 2 2" xfId="2124" xr:uid="{00000000-0005-0000-0000-0000CE020000}"/>
    <cellStyle name="Comma 2 4" xfId="2125" xr:uid="{00000000-0005-0000-0000-0000CF020000}"/>
    <cellStyle name="Comma 203" xfId="2" xr:uid="{00000000-0005-0000-0000-0000D0020000}"/>
    <cellStyle name="Comma 205" xfId="1" xr:uid="{00000000-0005-0000-0000-0000D1020000}"/>
    <cellStyle name="Comma 221" xfId="3" xr:uid="{00000000-0005-0000-0000-0000D2020000}"/>
    <cellStyle name="Comma 227" xfId="15" xr:uid="{00000000-0005-0000-0000-0000D3020000}"/>
    <cellStyle name="Comma 240" xfId="16" xr:uid="{00000000-0005-0000-0000-0000D4020000}"/>
    <cellStyle name="Comma 3" xfId="733" xr:uid="{00000000-0005-0000-0000-0000D5020000}"/>
    <cellStyle name="Comma 3 16" xfId="2112" xr:uid="{00000000-0005-0000-0000-0000D6020000}"/>
    <cellStyle name="Comma 3 16 2" xfId="2113" xr:uid="{00000000-0005-0000-0000-0000D7020000}"/>
    <cellStyle name="Comma 4" xfId="2126" xr:uid="{00000000-0005-0000-0000-0000D8020000}"/>
    <cellStyle name="Comma 5" xfId="5" xr:uid="{00000000-0005-0000-0000-0000D9020000}"/>
    <cellStyle name="Comma 5 13" xfId="734" xr:uid="{00000000-0005-0000-0000-0000DA020000}"/>
    <cellStyle name="Comma 6" xfId="2127" xr:uid="{00000000-0005-0000-0000-0000DB020000}"/>
    <cellStyle name="Comma 67" xfId="735" xr:uid="{00000000-0005-0000-0000-0000DC020000}"/>
    <cellStyle name="Comma 7" xfId="2119" xr:uid="{00000000-0005-0000-0000-0000DD020000}"/>
    <cellStyle name="Comma 8" xfId="736" xr:uid="{00000000-0005-0000-0000-0000DE020000}"/>
    <cellStyle name="comma zerodec" xfId="737" xr:uid="{00000000-0005-0000-0000-0000DF020000}"/>
    <cellStyle name="Comma[0]_TT_F0710221(통보용)" xfId="738" xr:uid="{00000000-0005-0000-0000-0000E0020000}"/>
    <cellStyle name="Comma0" xfId="739" xr:uid="{00000000-0005-0000-0000-0000E1020000}"/>
    <cellStyle name="Curren - Style2" xfId="740" xr:uid="{00000000-0005-0000-0000-0000E2020000}"/>
    <cellStyle name="Currency [0] 2" xfId="741" xr:uid="{00000000-0005-0000-0000-0000E3020000}"/>
    <cellStyle name="Currency [00]" xfId="742" xr:uid="{00000000-0005-0000-0000-0000E4020000}"/>
    <cellStyle name="Currency0" xfId="743" xr:uid="{00000000-0005-0000-0000-0000E5020000}"/>
    <cellStyle name="Currency1" xfId="744" xr:uid="{00000000-0005-0000-0000-0000E6020000}"/>
    <cellStyle name="D$_x0004_P??_x0010__x000b_?_x0015_?$_x0004_?_x000f_?" xfId="745" xr:uid="{00000000-0005-0000-0000-0000E7020000}"/>
    <cellStyle name="D$_x0004_P?_x0010__x000b_픲_x0015_딡$_x0004_뗈_x000f_?" xfId="746" xr:uid="{00000000-0005-0000-0000-0000E8020000}"/>
    <cellStyle name="Date" xfId="747" xr:uid="{00000000-0005-0000-0000-0000E9020000}"/>
    <cellStyle name="Date Short" xfId="748" xr:uid="{00000000-0005-0000-0000-0000EA020000}"/>
    <cellStyle name="Date_Announcement_TPR_Milk_powder_clear_stock(23_9th12)" xfId="749" xr:uid="{00000000-0005-0000-0000-0000EB020000}"/>
    <cellStyle name="DELTA" xfId="750" xr:uid="{00000000-0005-0000-0000-0000EC020000}"/>
    <cellStyle name="DELTA 2" xfId="751" xr:uid="{00000000-0005-0000-0000-0000ED020000}"/>
    <cellStyle name="DELTA 3" xfId="752" xr:uid="{00000000-0005-0000-0000-0000EE020000}"/>
    <cellStyle name="Dezimal [0]_68574_Materialbedarfsliste" xfId="753" xr:uid="{00000000-0005-0000-0000-0000EF020000}"/>
    <cellStyle name="Dezimal_68574_Materialbedarfsliste" xfId="754" xr:uid="{00000000-0005-0000-0000-0000F0020000}"/>
    <cellStyle name="Dollar (zero dec)" xfId="755" xr:uid="{00000000-0005-0000-0000-0000F1020000}"/>
    <cellStyle name="ᲲéᴲéᶲéḲéẲéἲéᾲé′é₲éℲé↲é" xfId="756" xr:uid="{00000000-0005-0000-0000-0000F2020000}"/>
    <cellStyle name="Enter Currency (0)" xfId="757" xr:uid="{00000000-0005-0000-0000-0000F3020000}"/>
    <cellStyle name="Enter Currency (2)" xfId="758" xr:uid="{00000000-0005-0000-0000-0000F4020000}"/>
    <cellStyle name="Enter Units (0)" xfId="759" xr:uid="{00000000-0005-0000-0000-0000F5020000}"/>
    <cellStyle name="Enter Units (1)" xfId="760" xr:uid="{00000000-0005-0000-0000-0000F6020000}"/>
    <cellStyle name="Enter Units (2)" xfId="761" xr:uid="{00000000-0005-0000-0000-0000F7020000}"/>
    <cellStyle name="Euro" xfId="762" xr:uid="{00000000-0005-0000-0000-0000F8020000}"/>
    <cellStyle name="Euro 2" xfId="763" xr:uid="{00000000-0005-0000-0000-0000F9020000}"/>
    <cellStyle name="Euro 3" xfId="764" xr:uid="{00000000-0005-0000-0000-0000FA020000}"/>
    <cellStyle name="Explanatory Text 2" xfId="765" xr:uid="{00000000-0005-0000-0000-0000FB020000}"/>
    <cellStyle name="Fixed" xfId="766" xr:uid="{00000000-0005-0000-0000-0000FC020000}"/>
    <cellStyle name="Font Britannic16" xfId="767" xr:uid="{00000000-0005-0000-0000-0000FD020000}"/>
    <cellStyle name="Font Britannic18" xfId="768" xr:uid="{00000000-0005-0000-0000-0000FE020000}"/>
    <cellStyle name="Font CenturyCond 18" xfId="769" xr:uid="{00000000-0005-0000-0000-0000FF020000}"/>
    <cellStyle name="Font Cond20" xfId="770" xr:uid="{00000000-0005-0000-0000-000000030000}"/>
    <cellStyle name="Font LucidaSans16" xfId="771" xr:uid="{00000000-0005-0000-0000-000001030000}"/>
    <cellStyle name="Font NewCenturyCond18" xfId="772" xr:uid="{00000000-0005-0000-0000-000002030000}"/>
    <cellStyle name="Font Ottawa14" xfId="773" xr:uid="{00000000-0005-0000-0000-000003030000}"/>
    <cellStyle name="Font Ottawa14 2" xfId="774" xr:uid="{00000000-0005-0000-0000-000004030000}"/>
    <cellStyle name="Font Ottawa14 3" xfId="775" xr:uid="{00000000-0005-0000-0000-000005030000}"/>
    <cellStyle name="Font Ottawa16" xfId="776" xr:uid="{00000000-0005-0000-0000-000006030000}"/>
    <cellStyle name="Good 2" xfId="777" xr:uid="{00000000-0005-0000-0000-000007030000}"/>
    <cellStyle name="Grey" xfId="778" xr:uid="{00000000-0005-0000-0000-000008030000}"/>
    <cellStyle name="Grey 2" xfId="779" xr:uid="{00000000-0005-0000-0000-000009030000}"/>
    <cellStyle name="ha" xfId="780" xr:uid="{00000000-0005-0000-0000-00000A030000}"/>
    <cellStyle name="HEADER" xfId="781" xr:uid="{00000000-0005-0000-0000-00000B030000}"/>
    <cellStyle name="Header1" xfId="782" xr:uid="{00000000-0005-0000-0000-00000C030000}"/>
    <cellStyle name="Header2" xfId="783" xr:uid="{00000000-0005-0000-0000-00000D030000}"/>
    <cellStyle name="Heading 1 2" xfId="784" xr:uid="{00000000-0005-0000-0000-00000E030000}"/>
    <cellStyle name="Heading 2 2" xfId="785" xr:uid="{00000000-0005-0000-0000-00000F030000}"/>
    <cellStyle name="Heading 3 2" xfId="786" xr:uid="{00000000-0005-0000-0000-000010030000}"/>
    <cellStyle name="Heading 4 2" xfId="787" xr:uid="{00000000-0005-0000-0000-000011030000}"/>
    <cellStyle name="Heading1" xfId="788" xr:uid="{00000000-0005-0000-0000-000012030000}"/>
    <cellStyle name="Heading2" xfId="789" xr:uid="{00000000-0005-0000-0000-000013030000}"/>
    <cellStyle name="headoption" xfId="790" xr:uid="{00000000-0005-0000-0000-000014030000}"/>
    <cellStyle name="Hoa-Scholl" xfId="791" xr:uid="{00000000-0005-0000-0000-000015030000}"/>
    <cellStyle name="Input [yellow]" xfId="792" xr:uid="{00000000-0005-0000-0000-000016030000}"/>
    <cellStyle name="Input [yellow] 2" xfId="793" xr:uid="{00000000-0005-0000-0000-000017030000}"/>
    <cellStyle name="Input 10" xfId="794" xr:uid="{00000000-0005-0000-0000-000018030000}"/>
    <cellStyle name="Input 2" xfId="795" xr:uid="{00000000-0005-0000-0000-000019030000}"/>
    <cellStyle name="Input 3" xfId="796" xr:uid="{00000000-0005-0000-0000-00001A030000}"/>
    <cellStyle name="Input 4" xfId="797" xr:uid="{00000000-0005-0000-0000-00001B030000}"/>
    <cellStyle name="Input 5" xfId="798" xr:uid="{00000000-0005-0000-0000-00001C030000}"/>
    <cellStyle name="Input 6" xfId="799" xr:uid="{00000000-0005-0000-0000-00001D030000}"/>
    <cellStyle name="Input 7" xfId="800" xr:uid="{00000000-0005-0000-0000-00001E030000}"/>
    <cellStyle name="Input 8" xfId="801" xr:uid="{00000000-0005-0000-0000-00001F030000}"/>
    <cellStyle name="Input 9" xfId="802" xr:uid="{00000000-0005-0000-0000-000020030000}"/>
    <cellStyle name="KAGE" xfId="803" xr:uid="{00000000-0005-0000-0000-000021030000}"/>
    <cellStyle name="Ledger 17 x 11 in" xfId="804" xr:uid="{00000000-0005-0000-0000-000022030000}"/>
    <cellStyle name="Line" xfId="805" xr:uid="{00000000-0005-0000-0000-000023030000}"/>
    <cellStyle name="Line 2" xfId="806" xr:uid="{00000000-0005-0000-0000-000024030000}"/>
    <cellStyle name="Link Currency (0)" xfId="807" xr:uid="{00000000-0005-0000-0000-000025030000}"/>
    <cellStyle name="Link Currency (2)" xfId="808" xr:uid="{00000000-0005-0000-0000-000026030000}"/>
    <cellStyle name="Link Units (0)" xfId="809" xr:uid="{00000000-0005-0000-0000-000027030000}"/>
    <cellStyle name="Link Units (1)" xfId="810" xr:uid="{00000000-0005-0000-0000-000028030000}"/>
    <cellStyle name="Link Units (2)" xfId="811" xr:uid="{00000000-0005-0000-0000-000029030000}"/>
    <cellStyle name="Linked Cell 2" xfId="812" xr:uid="{00000000-0005-0000-0000-00002A030000}"/>
    <cellStyle name="Millares [0]_Well Timing" xfId="813" xr:uid="{00000000-0005-0000-0000-00002B030000}"/>
    <cellStyle name="Millares_Well Timing" xfId="814" xr:uid="{00000000-0005-0000-0000-00002C030000}"/>
    <cellStyle name="Model" xfId="815" xr:uid="{00000000-0005-0000-0000-00002D030000}"/>
    <cellStyle name="moi" xfId="816" xr:uid="{00000000-0005-0000-0000-00002E030000}"/>
    <cellStyle name="Moneda [0]_Well Timing" xfId="817" xr:uid="{00000000-0005-0000-0000-00002F030000}"/>
    <cellStyle name="Moneda_Well Timing" xfId="818" xr:uid="{00000000-0005-0000-0000-000030030000}"/>
    <cellStyle name="Monétaire [0]_TARIFFS DB" xfId="819" xr:uid="{00000000-0005-0000-0000-000031030000}"/>
    <cellStyle name="Monétaire_TARIFFS DB" xfId="820" xr:uid="{00000000-0005-0000-0000-000032030000}"/>
    <cellStyle name="n" xfId="821" xr:uid="{00000000-0005-0000-0000-000033030000}"/>
    <cellStyle name="n_Book1" xfId="822" xr:uid="{00000000-0005-0000-0000-000034030000}"/>
    <cellStyle name="n_TP-QII-07-TRANG" xfId="823" xr:uid="{00000000-0005-0000-0000-000035030000}"/>
    <cellStyle name="n_TP-T06-07-TRANG" xfId="824" xr:uid="{00000000-0005-0000-0000-000036030000}"/>
    <cellStyle name="n_XUAT HOADON_2007" xfId="825" xr:uid="{00000000-0005-0000-0000-000037030000}"/>
    <cellStyle name="Neutral 2" xfId="826" xr:uid="{00000000-0005-0000-0000-000038030000}"/>
    <cellStyle name="New Times Roman" xfId="827" xr:uid="{00000000-0005-0000-0000-000039030000}"/>
    <cellStyle name="no dec" xfId="828" xr:uid="{00000000-0005-0000-0000-00003A030000}"/>
    <cellStyle name="ÑONVÒ" xfId="829" xr:uid="{00000000-0005-0000-0000-00003B030000}"/>
    <cellStyle name="Normal" xfId="0" builtinId="0"/>
    <cellStyle name="Normal - Style1" xfId="830" xr:uid="{00000000-0005-0000-0000-00003D030000}"/>
    <cellStyle name="Normal - 유형1" xfId="831" xr:uid="{00000000-0005-0000-0000-00003E030000}"/>
    <cellStyle name="Normal 10" xfId="832" xr:uid="{00000000-0005-0000-0000-00003F030000}"/>
    <cellStyle name="Normal 10 2" xfId="833" xr:uid="{00000000-0005-0000-0000-000040030000}"/>
    <cellStyle name="Normal 11" xfId="834" xr:uid="{00000000-0005-0000-0000-000041030000}"/>
    <cellStyle name="Normal 12" xfId="835" xr:uid="{00000000-0005-0000-0000-000042030000}"/>
    <cellStyle name="Normal 124" xfId="17" xr:uid="{00000000-0005-0000-0000-000043030000}"/>
    <cellStyle name="Normal 13" xfId="836" xr:uid="{00000000-0005-0000-0000-000044030000}"/>
    <cellStyle name="Normal 14" xfId="837" xr:uid="{00000000-0005-0000-0000-000045030000}"/>
    <cellStyle name="Normal 144" xfId="18" xr:uid="{00000000-0005-0000-0000-000046030000}"/>
    <cellStyle name="Normal 15" xfId="838" xr:uid="{00000000-0005-0000-0000-000047030000}"/>
    <cellStyle name="Normal 16" xfId="839" xr:uid="{00000000-0005-0000-0000-000048030000}"/>
    <cellStyle name="Normal 17" xfId="840" xr:uid="{00000000-0005-0000-0000-000049030000}"/>
    <cellStyle name="Normal 18" xfId="841" xr:uid="{00000000-0005-0000-0000-00004A030000}"/>
    <cellStyle name="Normal 19" xfId="842" xr:uid="{00000000-0005-0000-0000-00004B030000}"/>
    <cellStyle name="Normal 2" xfId="6" xr:uid="{00000000-0005-0000-0000-00004C030000}"/>
    <cellStyle name="Normal 2 2" xfId="10" xr:uid="{00000000-0005-0000-0000-00004D030000}"/>
    <cellStyle name="Normal 2 2 2" xfId="2114" xr:uid="{00000000-0005-0000-0000-00004E030000}"/>
    <cellStyle name="Normal 2 2 5" xfId="843" xr:uid="{00000000-0005-0000-0000-00004F030000}"/>
    <cellStyle name="Normal 2 3" xfId="2118" xr:uid="{00000000-0005-0000-0000-000050030000}"/>
    <cellStyle name="Normal 2 3 2 2" xfId="2128" xr:uid="{00000000-0005-0000-0000-000051030000}"/>
    <cellStyle name="Normal 2 3 2 3 2" xfId="844" xr:uid="{00000000-0005-0000-0000-000052030000}"/>
    <cellStyle name="Normal 2 4" xfId="2129" xr:uid="{00000000-0005-0000-0000-000053030000}"/>
    <cellStyle name="Normal 2 4 2" xfId="2130" xr:uid="{00000000-0005-0000-0000-000054030000}"/>
    <cellStyle name="Normal 20" xfId="845" xr:uid="{00000000-0005-0000-0000-000055030000}"/>
    <cellStyle name="Normal 21" xfId="846" xr:uid="{00000000-0005-0000-0000-000056030000}"/>
    <cellStyle name="Normal 22" xfId="847" xr:uid="{00000000-0005-0000-0000-000057030000}"/>
    <cellStyle name="Normal 23" xfId="848" xr:uid="{00000000-0005-0000-0000-000058030000}"/>
    <cellStyle name="Normal 24" xfId="849" xr:uid="{00000000-0005-0000-0000-000059030000}"/>
    <cellStyle name="Normal 25" xfId="850" xr:uid="{00000000-0005-0000-0000-00005A030000}"/>
    <cellStyle name="Normal 26" xfId="851" xr:uid="{00000000-0005-0000-0000-00005B030000}"/>
    <cellStyle name="Normal 27" xfId="852" xr:uid="{00000000-0005-0000-0000-00005C030000}"/>
    <cellStyle name="Normal 28" xfId="853" xr:uid="{00000000-0005-0000-0000-00005D030000}"/>
    <cellStyle name="Normal 29" xfId="854" xr:uid="{00000000-0005-0000-0000-00005E030000}"/>
    <cellStyle name="Normal 3" xfId="855" xr:uid="{00000000-0005-0000-0000-00005F030000}"/>
    <cellStyle name="Normal 3 2" xfId="2131" xr:uid="{00000000-0005-0000-0000-000060030000}"/>
    <cellStyle name="Normal 3 2 2" xfId="19" xr:uid="{00000000-0005-0000-0000-000061030000}"/>
    <cellStyle name="Normal 3 3 2" xfId="2137" xr:uid="{00000000-0005-0000-0000-000062030000}"/>
    <cellStyle name="Normal 3 4" xfId="2132" xr:uid="{00000000-0005-0000-0000-000063030000}"/>
    <cellStyle name="Normal 30" xfId="856" xr:uid="{00000000-0005-0000-0000-000064030000}"/>
    <cellStyle name="Normal 31" xfId="857" xr:uid="{00000000-0005-0000-0000-000065030000}"/>
    <cellStyle name="Normal 32" xfId="858" xr:uid="{00000000-0005-0000-0000-000066030000}"/>
    <cellStyle name="Normal 33" xfId="859" xr:uid="{00000000-0005-0000-0000-000067030000}"/>
    <cellStyle name="Normal 34" xfId="860" xr:uid="{00000000-0005-0000-0000-000068030000}"/>
    <cellStyle name="Normal 35" xfId="861" xr:uid="{00000000-0005-0000-0000-000069030000}"/>
    <cellStyle name="Normal 36" xfId="862" xr:uid="{00000000-0005-0000-0000-00006A030000}"/>
    <cellStyle name="Normal 37" xfId="863" xr:uid="{00000000-0005-0000-0000-00006B030000}"/>
    <cellStyle name="Normal 38" xfId="864" xr:uid="{00000000-0005-0000-0000-00006C030000}"/>
    <cellStyle name="Normal 39" xfId="865" xr:uid="{00000000-0005-0000-0000-00006D030000}"/>
    <cellStyle name="Normal 4" xfId="4" xr:uid="{00000000-0005-0000-0000-00006E030000}"/>
    <cellStyle name="Normal 4 2" xfId="20" xr:uid="{00000000-0005-0000-0000-00006F030000}"/>
    <cellStyle name="Normal 4 3" xfId="2135" xr:uid="{00000000-0005-0000-0000-000070030000}"/>
    <cellStyle name="Normal 40" xfId="866" xr:uid="{00000000-0005-0000-0000-000071030000}"/>
    <cellStyle name="Normal 41" xfId="867" xr:uid="{00000000-0005-0000-0000-000072030000}"/>
    <cellStyle name="Normal 42" xfId="868" xr:uid="{00000000-0005-0000-0000-000073030000}"/>
    <cellStyle name="Normal 43" xfId="869" xr:uid="{00000000-0005-0000-0000-000074030000}"/>
    <cellStyle name="Normal 44" xfId="870" xr:uid="{00000000-0005-0000-0000-000075030000}"/>
    <cellStyle name="Normal 45" xfId="871" xr:uid="{00000000-0005-0000-0000-000076030000}"/>
    <cellStyle name="Normal 46" xfId="872" xr:uid="{00000000-0005-0000-0000-000077030000}"/>
    <cellStyle name="Normal 47" xfId="873" xr:uid="{00000000-0005-0000-0000-000078030000}"/>
    <cellStyle name="Normal 48" xfId="874" xr:uid="{00000000-0005-0000-0000-000079030000}"/>
    <cellStyle name="Normal 49" xfId="875" xr:uid="{00000000-0005-0000-0000-00007A030000}"/>
    <cellStyle name="Normal 5" xfId="876" xr:uid="{00000000-0005-0000-0000-00007B030000}"/>
    <cellStyle name="Normal 50" xfId="877" xr:uid="{00000000-0005-0000-0000-00007C030000}"/>
    <cellStyle name="Normal 51" xfId="878" xr:uid="{00000000-0005-0000-0000-00007D030000}"/>
    <cellStyle name="Normal 52" xfId="879" xr:uid="{00000000-0005-0000-0000-00007E030000}"/>
    <cellStyle name="Normal 53" xfId="880" xr:uid="{00000000-0005-0000-0000-00007F030000}"/>
    <cellStyle name="Normal 54" xfId="881" xr:uid="{00000000-0005-0000-0000-000080030000}"/>
    <cellStyle name="Normal 55" xfId="882" xr:uid="{00000000-0005-0000-0000-000081030000}"/>
    <cellStyle name="Normal 56" xfId="883" xr:uid="{00000000-0005-0000-0000-000082030000}"/>
    <cellStyle name="Normal 57" xfId="884" xr:uid="{00000000-0005-0000-0000-000083030000}"/>
    <cellStyle name="Normal 58" xfId="885" xr:uid="{00000000-0005-0000-0000-000084030000}"/>
    <cellStyle name="Normal 58 2" xfId="886" xr:uid="{00000000-0005-0000-0000-000085030000}"/>
    <cellStyle name="Normal 59" xfId="2108" xr:uid="{00000000-0005-0000-0000-000086030000}"/>
    <cellStyle name="Normal 6" xfId="887" xr:uid="{00000000-0005-0000-0000-000087030000}"/>
    <cellStyle name="Normal 60" xfId="2134" xr:uid="{00000000-0005-0000-0000-000088030000}"/>
    <cellStyle name="Normal 7" xfId="888" xr:uid="{00000000-0005-0000-0000-000089030000}"/>
    <cellStyle name="Normal 7 2" xfId="21" xr:uid="{00000000-0005-0000-0000-00008A030000}"/>
    <cellStyle name="Normal 7 3" xfId="22" xr:uid="{00000000-0005-0000-0000-00008B030000}"/>
    <cellStyle name="Normal 7 4" xfId="2120" xr:uid="{00000000-0005-0000-0000-00008C030000}"/>
    <cellStyle name="Normal 73" xfId="889" xr:uid="{00000000-0005-0000-0000-00008D030000}"/>
    <cellStyle name="Normal 8" xfId="890" xr:uid="{00000000-0005-0000-0000-00008E030000}"/>
    <cellStyle name="Normal 85" xfId="23" xr:uid="{00000000-0005-0000-0000-00008F030000}"/>
    <cellStyle name="Normal 86" xfId="24" xr:uid="{00000000-0005-0000-0000-000090030000}"/>
    <cellStyle name="Normal 87" xfId="25" xr:uid="{00000000-0005-0000-0000-000091030000}"/>
    <cellStyle name="Normal 89" xfId="26" xr:uid="{00000000-0005-0000-0000-000092030000}"/>
    <cellStyle name="Normal 9" xfId="891" xr:uid="{00000000-0005-0000-0000-000093030000}"/>
    <cellStyle name="Normal 9 2" xfId="2133" xr:uid="{00000000-0005-0000-0000-000094030000}"/>
    <cellStyle name="Normal 90" xfId="27" xr:uid="{00000000-0005-0000-0000-000095030000}"/>
    <cellStyle name="Normal_RS BOM-20051114_COST STRUCTURE FOR CARNIVAL (REVISED)" xfId="2109" xr:uid="{00000000-0005-0000-0000-000096030000}"/>
    <cellStyle name="Normal1" xfId="892" xr:uid="{00000000-0005-0000-0000-000097030000}"/>
    <cellStyle name="Note 2" xfId="893" xr:uid="{00000000-0005-0000-0000-000098030000}"/>
    <cellStyle name="Note 3" xfId="894" xr:uid="{00000000-0005-0000-0000-000099030000}"/>
    <cellStyle name="Note 4" xfId="895" xr:uid="{00000000-0005-0000-0000-00009A030000}"/>
    <cellStyle name="o??귟 [0.00]_PRODUCT DETAIL Q1" xfId="896" xr:uid="{00000000-0005-0000-0000-00009B030000}"/>
    <cellStyle name="Œ…‹æØ‚è [0.00]_PRODUCT DETAIL Q1" xfId="897" xr:uid="{00000000-0005-0000-0000-00009C030000}"/>
    <cellStyle name="Œ…‹æØ‚è_PRODUCT DETAIL Q1" xfId="898" xr:uid="{00000000-0005-0000-0000-00009D030000}"/>
    <cellStyle name="oft Excel]_x000d__x000a_Comment=open=/f ‚ðw’è‚·‚é‚ÆAƒ†[ƒU[’è‹`ŠÖ”‚ðŠÖ”“\‚è•t‚¯‚Ìˆê——‚É“o˜^‚·‚é‚±‚Æ‚ª‚Å‚«‚Ü‚·B_x000d__x000a_Maximized" xfId="899" xr:uid="{00000000-0005-0000-0000-00009E030000}"/>
    <cellStyle name="omma [0]_Mktg Prog" xfId="900" xr:uid="{00000000-0005-0000-0000-00009F030000}"/>
    <cellStyle name="ormal_Sheet1_1" xfId="901" xr:uid="{00000000-0005-0000-0000-0000A0030000}"/>
    <cellStyle name="Output 2" xfId="902" xr:uid="{00000000-0005-0000-0000-0000A1030000}"/>
    <cellStyle name="paint" xfId="903" xr:uid="{00000000-0005-0000-0000-0000A2030000}"/>
    <cellStyle name="Percent [0]" xfId="904" xr:uid="{00000000-0005-0000-0000-0000A3030000}"/>
    <cellStyle name="Percent [0] 2" xfId="905" xr:uid="{00000000-0005-0000-0000-0000A4030000}"/>
    <cellStyle name="Percent [0] 3" xfId="906" xr:uid="{00000000-0005-0000-0000-0000A5030000}"/>
    <cellStyle name="Percent [00]" xfId="907" xr:uid="{00000000-0005-0000-0000-0000A6030000}"/>
    <cellStyle name="Percent [00] 2" xfId="908" xr:uid="{00000000-0005-0000-0000-0000A7030000}"/>
    <cellStyle name="Percent [00] 3" xfId="909" xr:uid="{00000000-0005-0000-0000-0000A8030000}"/>
    <cellStyle name="Percent [2]" xfId="910" xr:uid="{00000000-0005-0000-0000-0000A9030000}"/>
    <cellStyle name="Percent 2" xfId="28" xr:uid="{00000000-0005-0000-0000-0000AA030000}"/>
    <cellStyle name="Percent 3" xfId="2122" xr:uid="{00000000-0005-0000-0000-0000AB030000}"/>
    <cellStyle name="PrePop Currency (0)" xfId="911" xr:uid="{00000000-0005-0000-0000-0000AC030000}"/>
    <cellStyle name="PrePop Currency (2)" xfId="912" xr:uid="{00000000-0005-0000-0000-0000AD030000}"/>
    <cellStyle name="PrePop Units (0)" xfId="913" xr:uid="{00000000-0005-0000-0000-0000AE030000}"/>
    <cellStyle name="PrePop Units (1)" xfId="914" xr:uid="{00000000-0005-0000-0000-0000AF030000}"/>
    <cellStyle name="PrePop Units (2)" xfId="915" xr:uid="{00000000-0005-0000-0000-0000B0030000}"/>
    <cellStyle name="pricing" xfId="916" xr:uid="{00000000-0005-0000-0000-0000B1030000}"/>
    <cellStyle name="PSChar" xfId="917" xr:uid="{00000000-0005-0000-0000-0000B2030000}"/>
    <cellStyle name="PSDate" xfId="918" xr:uid="{00000000-0005-0000-0000-0000B3030000}"/>
    <cellStyle name="PSDec" xfId="919" xr:uid="{00000000-0005-0000-0000-0000B4030000}"/>
    <cellStyle name="PSHeading" xfId="920" xr:uid="{00000000-0005-0000-0000-0000B5030000}"/>
    <cellStyle name="PSInt" xfId="921" xr:uid="{00000000-0005-0000-0000-0000B6030000}"/>
    <cellStyle name="PSSpacer" xfId="922" xr:uid="{00000000-0005-0000-0000-0000B7030000}"/>
    <cellStyle name="sac" xfId="923" xr:uid="{00000000-0005-0000-0000-0000B8030000}"/>
    <cellStyle name="sac 2" xfId="924" xr:uid="{00000000-0005-0000-0000-0000B9030000}"/>
    <cellStyle name="sac 3" xfId="925" xr:uid="{00000000-0005-0000-0000-0000BA030000}"/>
    <cellStyle name="Style 1" xfId="926" xr:uid="{00000000-0005-0000-0000-0000BB030000}"/>
    <cellStyle name="Style 1 2" xfId="927" xr:uid="{00000000-0005-0000-0000-0000BC030000}"/>
    <cellStyle name="Style 1 3" xfId="928" xr:uid="{00000000-0005-0000-0000-0000BD030000}"/>
    <cellStyle name="Style 2" xfId="929" xr:uid="{00000000-0005-0000-0000-0000BE030000}"/>
    <cellStyle name="Style 3" xfId="930" xr:uid="{00000000-0005-0000-0000-0000BF030000}"/>
    <cellStyle name="Style 4" xfId="931" xr:uid="{00000000-0005-0000-0000-0000C0030000}"/>
    <cellStyle name="Style 5" xfId="932" xr:uid="{00000000-0005-0000-0000-0000C1030000}"/>
    <cellStyle name="Style 6" xfId="933" xr:uid="{00000000-0005-0000-0000-0000C2030000}"/>
    <cellStyle name="Style 7" xfId="934" xr:uid="{00000000-0005-0000-0000-0000C3030000}"/>
    <cellStyle name="Style 8" xfId="935" xr:uid="{00000000-0005-0000-0000-0000C4030000}"/>
    <cellStyle name="subhead" xfId="936" xr:uid="{00000000-0005-0000-0000-0000C5030000}"/>
    <cellStyle name="T" xfId="937" xr:uid="{00000000-0005-0000-0000-0000C6030000}"/>
    <cellStyle name="T 2" xfId="938" xr:uid="{00000000-0005-0000-0000-0000C7030000}"/>
    <cellStyle name="T_Bao Cao Tuan_NUTI 2007" xfId="939" xr:uid="{00000000-0005-0000-0000-0000C8030000}"/>
    <cellStyle name="T_Bao Cao Tuan_NUTI 2007_LOGO_KLTT160507" xfId="940" xr:uid="{00000000-0005-0000-0000-0000C9030000}"/>
    <cellStyle name="T_Bao Cao Tuan_NUTI 2007_LOGO_KLTT160507 2" xfId="941" xr:uid="{00000000-0005-0000-0000-0000CA030000}"/>
    <cellStyle name="T_bieumau" xfId="942" xr:uid="{00000000-0005-0000-0000-0000CB030000}"/>
    <cellStyle name="T_bieumau 2" xfId="943" xr:uid="{00000000-0005-0000-0000-0000CC030000}"/>
    <cellStyle name="T_Book1" xfId="944" xr:uid="{00000000-0005-0000-0000-0000CD030000}"/>
    <cellStyle name="T_Book1 2" xfId="945" xr:uid="{00000000-0005-0000-0000-0000CE030000}"/>
    <cellStyle name="T_FOTON BEN-08" xfId="946" xr:uid="{00000000-0005-0000-0000-0000CF030000}"/>
    <cellStyle name="T_FOTON BEN-08 2" xfId="947" xr:uid="{00000000-0005-0000-0000-0000D0030000}"/>
    <cellStyle name="T_KH SX TUAN THANG 4 20~29 ke hoach quy 2  (kieu)" xfId="948" xr:uid="{00000000-0005-0000-0000-0000D1030000}"/>
    <cellStyle name="T_Tay Bac 1" xfId="949" xr:uid="{00000000-0005-0000-0000-0000D2030000}"/>
    <cellStyle name="T_Tay Bac 1 2" xfId="950" xr:uid="{00000000-0005-0000-0000-0000D3030000}"/>
    <cellStyle name="T_Tay Bac 1_LOGO_KLTT160507" xfId="951" xr:uid="{00000000-0005-0000-0000-0000D4030000}"/>
    <cellStyle name="T_Test IQ" xfId="952" xr:uid="{00000000-0005-0000-0000-0000D5030000}"/>
    <cellStyle name="T_X DONG THUNG" xfId="953" xr:uid="{00000000-0005-0000-0000-0000D6030000}"/>
    <cellStyle name="T_X DONG THUNG 2" xfId="954" xr:uid="{00000000-0005-0000-0000-0000D7030000}"/>
    <cellStyle name="Text Indent A" xfId="955" xr:uid="{00000000-0005-0000-0000-0000D8030000}"/>
    <cellStyle name="Text Indent B" xfId="956" xr:uid="{00000000-0005-0000-0000-0000D9030000}"/>
    <cellStyle name="Text Indent B 2" xfId="957" xr:uid="{00000000-0005-0000-0000-0000DA030000}"/>
    <cellStyle name="Text Indent B 3" xfId="958" xr:uid="{00000000-0005-0000-0000-0000DB030000}"/>
    <cellStyle name="Text Indent C" xfId="959" xr:uid="{00000000-0005-0000-0000-0000DC030000}"/>
    <cellStyle name="Text Indent C 2" xfId="960" xr:uid="{00000000-0005-0000-0000-0000DD030000}"/>
    <cellStyle name="Text Indent C 3" xfId="961" xr:uid="{00000000-0005-0000-0000-0000DE030000}"/>
    <cellStyle name="th" xfId="962" xr:uid="{00000000-0005-0000-0000-0000DF030000}"/>
    <cellStyle name="th 2" xfId="963" xr:uid="{00000000-0005-0000-0000-0000E0030000}"/>
    <cellStyle name="þ_x001d_ð'&amp;Oy?Hy9_x0008__x000f__x0007_æ_x0007__x0007__x0001__x0001_" xfId="964" xr:uid="{00000000-0005-0000-0000-0000E1030000}"/>
    <cellStyle name="þ_x001d_ð¤_x000c_¯þ_x0014__x000d_¨þU_x0001_À_x0004_ _x0015__x000f__x0001__x0001_" xfId="965" xr:uid="{00000000-0005-0000-0000-0000E2030000}"/>
    <cellStyle name="þ_x001d_ðK_x000c_Fý_x001b__x000d_9ýU_x0001_Ð_x0008_¦)_x0007__x0001__x0001_" xfId="966" xr:uid="{00000000-0005-0000-0000-0000E3030000}"/>
    <cellStyle name="Times New Roman" xfId="967" xr:uid="{00000000-0005-0000-0000-0000E4030000}"/>
    <cellStyle name="Title 2" xfId="968" xr:uid="{00000000-0005-0000-0000-0000E5030000}"/>
    <cellStyle name="Total 2" xfId="969" xr:uid="{00000000-0005-0000-0000-0000E6030000}"/>
    <cellStyle name="Tusental (0)_pldt" xfId="970" xr:uid="{00000000-0005-0000-0000-0000E7030000}"/>
    <cellStyle name="Tusental_pldt" xfId="971" xr:uid="{00000000-0005-0000-0000-0000E8030000}"/>
    <cellStyle name="UR" xfId="972" xr:uid="{00000000-0005-0000-0000-0000E9030000}"/>
    <cellStyle name="Valuta (0)_pldt" xfId="973" xr:uid="{00000000-0005-0000-0000-0000EA030000}"/>
    <cellStyle name="Valuta_pldt" xfId="974" xr:uid="{00000000-0005-0000-0000-0000EB030000}"/>
    <cellStyle name="Version_Header" xfId="975" xr:uid="{00000000-0005-0000-0000-0000EC030000}"/>
    <cellStyle name="viet" xfId="976" xr:uid="{00000000-0005-0000-0000-0000ED030000}"/>
    <cellStyle name="viet 2" xfId="977" xr:uid="{00000000-0005-0000-0000-0000EE030000}"/>
    <cellStyle name="viet2" xfId="978" xr:uid="{00000000-0005-0000-0000-0000EF030000}"/>
    <cellStyle name="viet2 2" xfId="979" xr:uid="{00000000-0005-0000-0000-0000F0030000}"/>
    <cellStyle name="VN new romanNormal" xfId="980" xr:uid="{00000000-0005-0000-0000-0000F1030000}"/>
    <cellStyle name="VN time new roman" xfId="981" xr:uid="{00000000-0005-0000-0000-0000F2030000}"/>
    <cellStyle name="vnbo" xfId="982" xr:uid="{00000000-0005-0000-0000-0000F3030000}"/>
    <cellStyle name="vnhead1" xfId="983" xr:uid="{00000000-0005-0000-0000-0000F4030000}"/>
    <cellStyle name="vnhead2" xfId="984" xr:uid="{00000000-0005-0000-0000-0000F5030000}"/>
    <cellStyle name="vnhead3" xfId="985" xr:uid="{00000000-0005-0000-0000-0000F6030000}"/>
    <cellStyle name="vnhead4" xfId="986" xr:uid="{00000000-0005-0000-0000-0000F7030000}"/>
    <cellStyle name="vntxt1" xfId="987" xr:uid="{00000000-0005-0000-0000-0000F8030000}"/>
    <cellStyle name="vntxt2" xfId="988" xr:uid="{00000000-0005-0000-0000-0000F9030000}"/>
    <cellStyle name="Volumes_Data" xfId="989" xr:uid="{00000000-0005-0000-0000-0000FA030000}"/>
    <cellStyle name="Währung [0]_68574_Materialbedarfsliste" xfId="990" xr:uid="{00000000-0005-0000-0000-0000FB030000}"/>
    <cellStyle name="Währung_68574_Materialbedarfsliste" xfId="991" xr:uid="{00000000-0005-0000-0000-0000FC030000}"/>
    <cellStyle name="Warning Text 2" xfId="992" xr:uid="{00000000-0005-0000-0000-0000FD030000}"/>
    <cellStyle name="xuan" xfId="993" xr:uid="{00000000-0005-0000-0000-0000FE030000}"/>
    <cellStyle name="Денежный [0]_1I 135 100" xfId="994" xr:uid="{00000000-0005-0000-0000-0000FF030000}"/>
    <cellStyle name="Денежный_1I 135 100" xfId="995" xr:uid="{00000000-0005-0000-0000-000000040000}"/>
    <cellStyle name="Обычный_1I 135 100" xfId="996" xr:uid="{00000000-0005-0000-0000-000001040000}"/>
    <cellStyle name="Финансовый [0]_1I 135 100" xfId="997" xr:uid="{00000000-0005-0000-0000-000002040000}"/>
    <cellStyle name="Финансовый_1I 135 100" xfId="998" xr:uid="{00000000-0005-0000-0000-000003040000}"/>
    <cellStyle name="ન࿿ઇ૆૞૩૴ાઝુ૥઻ઢઓહ઩ૣોિૐ૭ઊૅ૶૮૯ઁમભ૵૎࿿૬૒_VBA_PROJECT_CUR" xfId="999" xr:uid="{00000000-0005-0000-0000-000004040000}"/>
    <cellStyle name="เครื่องหมายสกุลเงิน [0]_FTC_OFFER" xfId="1000" xr:uid="{00000000-0005-0000-0000-000005040000}"/>
    <cellStyle name="เครื่องหมายสกุลเงิน_FTC_OFFER" xfId="1001" xr:uid="{00000000-0005-0000-0000-000006040000}"/>
    <cellStyle name="ปกติ_FTC_OFFER" xfId="1002" xr:uid="{00000000-0005-0000-0000-000007040000}"/>
    <cellStyle name=" [0.00]_ Att. 1- Cover" xfId="1003" xr:uid="{00000000-0005-0000-0000-000008040000}"/>
    <cellStyle name="_ Att. 1- Cover" xfId="1004" xr:uid="{00000000-0005-0000-0000-000009040000}"/>
    <cellStyle name="?_ Att. 1- Cover" xfId="1005" xr:uid="{00000000-0005-0000-0000-00000A040000}"/>
    <cellStyle name="강조색1" xfId="1006" xr:uid="{00000000-0005-0000-0000-00000B040000}"/>
    <cellStyle name="강조색2" xfId="1007" xr:uid="{00000000-0005-0000-0000-00000C040000}"/>
    <cellStyle name="강조색3" xfId="1008" xr:uid="{00000000-0005-0000-0000-00000D040000}"/>
    <cellStyle name="강조색4" xfId="1009" xr:uid="{00000000-0005-0000-0000-00000E040000}"/>
    <cellStyle name="강조색5" xfId="1010" xr:uid="{00000000-0005-0000-0000-00000F040000}"/>
    <cellStyle name="강조색6" xfId="1011" xr:uid="{00000000-0005-0000-0000-000010040000}"/>
    <cellStyle name="경고문" xfId="1012" xr:uid="{00000000-0005-0000-0000-000011040000}"/>
    <cellStyle name="계산" xfId="1013" xr:uid="{00000000-0005-0000-0000-000012040000}"/>
    <cellStyle name="고정소숫점_V-200제작추진 " xfId="1014" xr:uid="{00000000-0005-0000-0000-000013040000}"/>
    <cellStyle name="고정출력1_10월2W타부 " xfId="1015" xr:uid="{00000000-0005-0000-0000-000014040000}"/>
    <cellStyle name="고정출력2_10월2W타부 " xfId="1016" xr:uid="{00000000-0005-0000-0000-000015040000}"/>
    <cellStyle name="나쁨" xfId="1017" xr:uid="{00000000-0005-0000-0000-000016040000}"/>
    <cellStyle name="날짜_V-200제작추진 " xfId="1018" xr:uid="{00000000-0005-0000-0000-000017040000}"/>
    <cellStyle name="달러_V-200제작추진 " xfId="1019" xr:uid="{00000000-0005-0000-0000-000018040000}"/>
    <cellStyle name="뒤에 오는 하이퍼링크" xfId="1020" xr:uid="{00000000-0005-0000-0000-000019040000}"/>
    <cellStyle name="똿뗦먛귟 [0.00]_PRODUCT DETAIL Q1" xfId="1021" xr:uid="{00000000-0005-0000-0000-00001A040000}"/>
    <cellStyle name="똿뗦먛귟_PRODUCT DETAIL Q1" xfId="1022" xr:uid="{00000000-0005-0000-0000-00001B040000}"/>
    <cellStyle name="메모" xfId="1023" xr:uid="{00000000-0005-0000-0000-00001C040000}"/>
    <cellStyle name="믅됞 [0.00]_PRODUCT DETAIL Q1" xfId="1024" xr:uid="{00000000-0005-0000-0000-00001D040000}"/>
    <cellStyle name="믅됞_PRODUCT DETAIL Q1" xfId="1025" xr:uid="{00000000-0005-0000-0000-00001E040000}"/>
    <cellStyle name="밍? [0]_엄넷?? " xfId="1026" xr:uid="{00000000-0005-0000-0000-00001F040000}"/>
    <cellStyle name="밍?_엄넷?? " xfId="1027" xr:uid="{00000000-0005-0000-0000-000020040000}"/>
    <cellStyle name="백" xfId="1028" xr:uid="{00000000-0005-0000-0000-000021040000}"/>
    <cellStyle name="백_출장계획서" xfId="1029" xr:uid="{00000000-0005-0000-0000-000022040000}"/>
    <cellStyle name="백_출장계획서_~0044114" xfId="1030" xr:uid="{00000000-0005-0000-0000-000023040000}"/>
    <cellStyle name="백_출장계획서_~0044114_Sheet1" xfId="1031" xr:uid="{00000000-0005-0000-0000-000024040000}"/>
    <cellStyle name="백_출장계획서_~0044114_토요(0317)" xfId="1032" xr:uid="{00000000-0005-0000-0000-000025040000}"/>
    <cellStyle name="백_출장계획서_~0044114_토요(0317)_Sheet1" xfId="1033" xr:uid="{00000000-0005-0000-0000-000026040000}"/>
    <cellStyle name="백_출장계획서_~0044114_토요(0317)_토요안건(0331)" xfId="1034" xr:uid="{00000000-0005-0000-0000-000027040000}"/>
    <cellStyle name="백_출장계획서_~0044114_토요(0317)_토요안건(0331)_Sheet1" xfId="1035" xr:uid="{00000000-0005-0000-0000-000028040000}"/>
    <cellStyle name="백_출장계획서_~0044114_토요안건(0316)" xfId="1036" xr:uid="{00000000-0005-0000-0000-000029040000}"/>
    <cellStyle name="백_출장계획서_~0044114_토요안건(0316)_Sheet1" xfId="1037" xr:uid="{00000000-0005-0000-0000-00002A040000}"/>
    <cellStyle name="백_출장계획서_~0044114_토요안건(0316)_토요안건(0331)" xfId="1038" xr:uid="{00000000-0005-0000-0000-00002B040000}"/>
    <cellStyle name="백_출장계획서_~0044114_토요안건(0316)_토요안건(0331)_Sheet1" xfId="1039" xr:uid="{00000000-0005-0000-0000-00002C040000}"/>
    <cellStyle name="백_출장계획서_Book2" xfId="1040" xr:uid="{00000000-0005-0000-0000-00002D040000}"/>
    <cellStyle name="백_출장계획서_Book2_Sheet1" xfId="1041" xr:uid="{00000000-0005-0000-0000-00002E040000}"/>
    <cellStyle name="백_출장계획서_Book2_토요(0317)" xfId="1042" xr:uid="{00000000-0005-0000-0000-00002F040000}"/>
    <cellStyle name="백_출장계획서_Book2_토요(0317)_Sheet1" xfId="1043" xr:uid="{00000000-0005-0000-0000-000030040000}"/>
    <cellStyle name="백_출장계획서_Book2_토요(0317)_토요안건(0331)" xfId="1044" xr:uid="{00000000-0005-0000-0000-000031040000}"/>
    <cellStyle name="백_출장계획서_Book2_토요(0317)_토요안건(0331)_Sheet1" xfId="1045" xr:uid="{00000000-0005-0000-0000-000032040000}"/>
    <cellStyle name="백_출장계획서_Book2_토요안건(0316)" xfId="1046" xr:uid="{00000000-0005-0000-0000-000033040000}"/>
    <cellStyle name="백_출장계획서_Book2_토요안건(0316)_Sheet1" xfId="1047" xr:uid="{00000000-0005-0000-0000-000034040000}"/>
    <cellStyle name="백_출장계획서_Book2_토요안건(0316)_토요안건(0331)" xfId="1048" xr:uid="{00000000-0005-0000-0000-000035040000}"/>
    <cellStyle name="백_출장계획서_Book2_토요안건(0316)_토요안건(0331)_Sheet1" xfId="1049" xr:uid="{00000000-0005-0000-0000-000036040000}"/>
    <cellStyle name="백_출장계획서_Sheet1" xfId="1050" xr:uid="{00000000-0005-0000-0000-000037040000}"/>
    <cellStyle name="백_출장계획서_신전장기능성품질문제점보고0315" xfId="1051" xr:uid="{00000000-0005-0000-0000-000038040000}"/>
    <cellStyle name="백_출장계획서_신전장기능성품질문제점보고0315_~0044114" xfId="1052" xr:uid="{00000000-0005-0000-0000-000039040000}"/>
    <cellStyle name="백_출장계획서_신전장기능성품질문제점보고0315_~0044114_Sheet1" xfId="1053" xr:uid="{00000000-0005-0000-0000-00003A040000}"/>
    <cellStyle name="백_출장계획서_신전장기능성품질문제점보고0315_~0044114_토요(0317)" xfId="1054" xr:uid="{00000000-0005-0000-0000-00003B040000}"/>
    <cellStyle name="백_출장계획서_신전장기능성품질문제점보고0315_~0044114_토요(0317)_Sheet1" xfId="1055" xr:uid="{00000000-0005-0000-0000-00003C040000}"/>
    <cellStyle name="백_출장계획서_신전장기능성품질문제점보고0315_~0044114_토요(0317)_토요안건(0331)" xfId="1056" xr:uid="{00000000-0005-0000-0000-00003D040000}"/>
    <cellStyle name="백_출장계획서_신전장기능성품질문제점보고0315_~0044114_토요(0317)_토요안건(0331)_Sheet1" xfId="1057" xr:uid="{00000000-0005-0000-0000-00003E040000}"/>
    <cellStyle name="백_출장계획서_신전장기능성품질문제점보고0315_~0044114_토요안건(0316)" xfId="1058" xr:uid="{00000000-0005-0000-0000-00003F040000}"/>
    <cellStyle name="백_출장계획서_신전장기능성품질문제점보고0315_~0044114_토요안건(0316)_Sheet1" xfId="1059" xr:uid="{00000000-0005-0000-0000-000040040000}"/>
    <cellStyle name="백_출장계획서_신전장기능성품질문제점보고0315_~0044114_토요안건(0316)_토요안건(0331)" xfId="1060" xr:uid="{00000000-0005-0000-0000-000041040000}"/>
    <cellStyle name="백_출장계획서_신전장기능성품질문제점보고0315_~0044114_토요안건(0316)_토요안건(0331)_Sheet1" xfId="1061" xr:uid="{00000000-0005-0000-0000-000042040000}"/>
    <cellStyle name="백_출장계획서_신전장기능성품질문제점보고0315_Book2" xfId="1062" xr:uid="{00000000-0005-0000-0000-000043040000}"/>
    <cellStyle name="백_출장계획서_신전장기능성품질문제점보고0315_Book2_Sheet1" xfId="1063" xr:uid="{00000000-0005-0000-0000-000044040000}"/>
    <cellStyle name="백_출장계획서_신전장기능성품질문제점보고0315_Book2_토요(0317)" xfId="1064" xr:uid="{00000000-0005-0000-0000-000045040000}"/>
    <cellStyle name="백_출장계획서_신전장기능성품질문제점보고0315_Book2_토요(0317)_Sheet1" xfId="1065" xr:uid="{00000000-0005-0000-0000-000046040000}"/>
    <cellStyle name="백_출장계획서_신전장기능성품질문제점보고0315_Book2_토요(0317)_토요안건(0331)" xfId="1066" xr:uid="{00000000-0005-0000-0000-000047040000}"/>
    <cellStyle name="백_출장계획서_신전장기능성품질문제점보고0315_Book2_토요(0317)_토요안건(0331)_Sheet1" xfId="1067" xr:uid="{00000000-0005-0000-0000-000048040000}"/>
    <cellStyle name="백_출장계획서_신전장기능성품질문제점보고0315_Book2_토요안건(0316)" xfId="1068" xr:uid="{00000000-0005-0000-0000-000049040000}"/>
    <cellStyle name="백_출장계획서_신전장기능성품질문제점보고0315_Book2_토요안건(0316)_Sheet1" xfId="1069" xr:uid="{00000000-0005-0000-0000-00004A040000}"/>
    <cellStyle name="백_출장계획서_신전장기능성품질문제점보고0315_Book2_토요안건(0316)_토요안건(0331)" xfId="1070" xr:uid="{00000000-0005-0000-0000-00004B040000}"/>
    <cellStyle name="백_출장계획서_신전장기능성품질문제점보고0315_Book2_토요안건(0316)_토요안건(0331)_Sheet1" xfId="1071" xr:uid="{00000000-0005-0000-0000-00004C040000}"/>
    <cellStyle name="백_출장계획서_신전장기능성품질문제점보고0315_Sheet1" xfId="1072" xr:uid="{00000000-0005-0000-0000-00004D040000}"/>
    <cellStyle name="백_출장계획서_신전장기능성품질문제점보고0315_토요(0317)" xfId="1073" xr:uid="{00000000-0005-0000-0000-00004E040000}"/>
    <cellStyle name="백_출장계획서_신전장기능성품질문제점보고0315_토요(0317)_Sheet1" xfId="1074" xr:uid="{00000000-0005-0000-0000-00004F040000}"/>
    <cellStyle name="백_출장계획서_신전장기능성품질문제점보고0315_토요(0317)_토요안건(0331)" xfId="1075" xr:uid="{00000000-0005-0000-0000-000050040000}"/>
    <cellStyle name="백_출장계획서_신전장기능성품질문제점보고0315_토요(0317)_토요안건(0331)_Sheet1" xfId="1076" xr:uid="{00000000-0005-0000-0000-000051040000}"/>
    <cellStyle name="백_출장계획서_신전장기능성품질문제점보고0315_토요안건(0316)" xfId="1077" xr:uid="{00000000-0005-0000-0000-000052040000}"/>
    <cellStyle name="백_출장계획서_신전장기능성품질문제점보고0315_토요안건(0316)_Sheet1" xfId="1078" xr:uid="{00000000-0005-0000-0000-000053040000}"/>
    <cellStyle name="백_출장계획서_신전장기능성품질문제점보고0315_토요안건(0316)_토요안건(0331)" xfId="1079" xr:uid="{00000000-0005-0000-0000-000054040000}"/>
    <cellStyle name="백_출장계획서_신전장기능성품질문제점보고0315_토요안건(0316)_토요안건(0331)_Sheet1" xfId="1080" xr:uid="{00000000-0005-0000-0000-000055040000}"/>
    <cellStyle name="백_출장계획서_전장기능성품질문제점진척보고" xfId="1081" xr:uid="{00000000-0005-0000-0000-000056040000}"/>
    <cellStyle name="백_출장계획서_전장기능성품질문제점진척보고_~0044114" xfId="1082" xr:uid="{00000000-0005-0000-0000-000057040000}"/>
    <cellStyle name="백_출장계획서_전장기능성품질문제점진척보고_~0044114_Sheet1" xfId="1083" xr:uid="{00000000-0005-0000-0000-000058040000}"/>
    <cellStyle name="백_출장계획서_전장기능성품질문제점진척보고_~0044114_토요(0317)" xfId="1084" xr:uid="{00000000-0005-0000-0000-000059040000}"/>
    <cellStyle name="백_출장계획서_전장기능성품질문제점진척보고_~0044114_토요(0317)_Sheet1" xfId="1085" xr:uid="{00000000-0005-0000-0000-00005A040000}"/>
    <cellStyle name="백_출장계획서_전장기능성품질문제점진척보고_~0044114_토요(0317)_토요안건(0331)" xfId="1086" xr:uid="{00000000-0005-0000-0000-00005B040000}"/>
    <cellStyle name="백_출장계획서_전장기능성품질문제점진척보고_~0044114_토요(0317)_토요안건(0331)_Sheet1" xfId="1087" xr:uid="{00000000-0005-0000-0000-00005C040000}"/>
    <cellStyle name="백_출장계획서_전장기능성품질문제점진척보고_~0044114_토요안건(0316)" xfId="1088" xr:uid="{00000000-0005-0000-0000-00005D040000}"/>
    <cellStyle name="백_출장계획서_전장기능성품질문제점진척보고_~0044114_토요안건(0316)_Sheet1" xfId="1089" xr:uid="{00000000-0005-0000-0000-00005E040000}"/>
    <cellStyle name="백_출장계획서_전장기능성품질문제점진척보고_~0044114_토요안건(0316)_토요안건(0331)" xfId="1090" xr:uid="{00000000-0005-0000-0000-00005F040000}"/>
    <cellStyle name="백_출장계획서_전장기능성품질문제점진척보고_~0044114_토요안건(0316)_토요안건(0331)_Sheet1" xfId="1091" xr:uid="{00000000-0005-0000-0000-000060040000}"/>
    <cellStyle name="백_출장계획서_전장기능성품질문제점진척보고_Book2" xfId="1092" xr:uid="{00000000-0005-0000-0000-000061040000}"/>
    <cellStyle name="백_출장계획서_전장기능성품질문제점진척보고_Book2_Sheet1" xfId="1093" xr:uid="{00000000-0005-0000-0000-000062040000}"/>
    <cellStyle name="백_출장계획서_전장기능성품질문제점진척보고_Book2_토요(0317)" xfId="1094" xr:uid="{00000000-0005-0000-0000-000063040000}"/>
    <cellStyle name="백_출장계획서_전장기능성품질문제점진척보고_Book2_토요(0317)_Sheet1" xfId="1095" xr:uid="{00000000-0005-0000-0000-000064040000}"/>
    <cellStyle name="백_출장계획서_전장기능성품질문제점진척보고_Book2_토요(0317)_토요안건(0331)" xfId="1096" xr:uid="{00000000-0005-0000-0000-000065040000}"/>
    <cellStyle name="백_출장계획서_전장기능성품질문제점진척보고_Book2_토요(0317)_토요안건(0331)_Sheet1" xfId="1097" xr:uid="{00000000-0005-0000-0000-000066040000}"/>
    <cellStyle name="백_출장계획서_전장기능성품질문제점진척보고_Book2_토요안건(0316)" xfId="1098" xr:uid="{00000000-0005-0000-0000-000067040000}"/>
    <cellStyle name="백_출장계획서_전장기능성품질문제점진척보고_Book2_토요안건(0316)_Sheet1" xfId="1099" xr:uid="{00000000-0005-0000-0000-000068040000}"/>
    <cellStyle name="백_출장계획서_전장기능성품질문제점진척보고_Book2_토요안건(0316)_토요안건(0331)" xfId="1100" xr:uid="{00000000-0005-0000-0000-000069040000}"/>
    <cellStyle name="백_출장계획서_전장기능성품질문제점진척보고_Book2_토요안건(0316)_토요안건(0331)_Sheet1" xfId="1101" xr:uid="{00000000-0005-0000-0000-00006A040000}"/>
    <cellStyle name="백_출장계획서_전장기능성품질문제점진척보고_Sheet1" xfId="1102" xr:uid="{00000000-0005-0000-0000-00006B040000}"/>
    <cellStyle name="백_출장계획서_전장기능성품질문제점진척보고_토요(0317)" xfId="1103" xr:uid="{00000000-0005-0000-0000-00006C040000}"/>
    <cellStyle name="백_출장계획서_전장기능성품질문제점진척보고_토요(0317)_Sheet1" xfId="1104" xr:uid="{00000000-0005-0000-0000-00006D040000}"/>
    <cellStyle name="백_출장계획서_전장기능성품질문제점진척보고_토요(0317)_토요안건(0331)" xfId="1105" xr:uid="{00000000-0005-0000-0000-00006E040000}"/>
    <cellStyle name="백_출장계획서_전장기능성품질문제점진척보고_토요(0317)_토요안건(0331)_Sheet1" xfId="1106" xr:uid="{00000000-0005-0000-0000-00006F040000}"/>
    <cellStyle name="백_출장계획서_전장기능성품질문제점진척보고_토요안건(0316)" xfId="1107" xr:uid="{00000000-0005-0000-0000-000070040000}"/>
    <cellStyle name="백_출장계획서_전장기능성품질문제점진척보고_토요안건(0316)_Sheet1" xfId="1108" xr:uid="{00000000-0005-0000-0000-000071040000}"/>
    <cellStyle name="백_출장계획서_전장기능성품질문제점진척보고_토요안건(0316)_토요안건(0331)" xfId="1109" xr:uid="{00000000-0005-0000-0000-000072040000}"/>
    <cellStyle name="백_출장계획서_전장기능성품질문제점진척보고_토요안건(0316)_토요안건(0331)_Sheet1" xfId="1110" xr:uid="{00000000-0005-0000-0000-000073040000}"/>
    <cellStyle name="백_출장계획서_전장회장님보고자료" xfId="1111" xr:uid="{00000000-0005-0000-0000-000074040000}"/>
    <cellStyle name="백_출장계획서_전장회장님보고자료_~0044114" xfId="1112" xr:uid="{00000000-0005-0000-0000-000075040000}"/>
    <cellStyle name="백_출장계획서_전장회장님보고자료_~0044114_Sheet1" xfId="1113" xr:uid="{00000000-0005-0000-0000-000076040000}"/>
    <cellStyle name="백_출장계획서_전장회장님보고자료_~0044114_토요(0317)" xfId="1114" xr:uid="{00000000-0005-0000-0000-000077040000}"/>
    <cellStyle name="백_출장계획서_전장회장님보고자료_~0044114_토요(0317)_Sheet1" xfId="1115" xr:uid="{00000000-0005-0000-0000-000078040000}"/>
    <cellStyle name="백_출장계획서_전장회장님보고자료_~0044114_토요(0317)_토요안건(0331)" xfId="1116" xr:uid="{00000000-0005-0000-0000-000079040000}"/>
    <cellStyle name="백_출장계획서_전장회장님보고자료_~0044114_토요(0317)_토요안건(0331)_Sheet1" xfId="1117" xr:uid="{00000000-0005-0000-0000-00007A040000}"/>
    <cellStyle name="백_출장계획서_전장회장님보고자료_~0044114_토요안건(0316)" xfId="1118" xr:uid="{00000000-0005-0000-0000-00007B040000}"/>
    <cellStyle name="백_출장계획서_전장회장님보고자료_~0044114_토요안건(0316)_Sheet1" xfId="1119" xr:uid="{00000000-0005-0000-0000-00007C040000}"/>
    <cellStyle name="백_출장계획서_전장회장님보고자료_~0044114_토요안건(0316)_토요안건(0331)" xfId="1120" xr:uid="{00000000-0005-0000-0000-00007D040000}"/>
    <cellStyle name="백_출장계획서_전장회장님보고자료_~0044114_토요안건(0316)_토요안건(0331)_Sheet1" xfId="1121" xr:uid="{00000000-0005-0000-0000-00007E040000}"/>
    <cellStyle name="백_출장계획서_전장회장님보고자료_Book2" xfId="1122" xr:uid="{00000000-0005-0000-0000-00007F040000}"/>
    <cellStyle name="백_출장계획서_전장회장님보고자료_Book2_Sheet1" xfId="1123" xr:uid="{00000000-0005-0000-0000-000080040000}"/>
    <cellStyle name="백_출장계획서_전장회장님보고자료_Book2_토요(0317)" xfId="1124" xr:uid="{00000000-0005-0000-0000-000081040000}"/>
    <cellStyle name="백_출장계획서_전장회장님보고자료_Book2_토요(0317)_Sheet1" xfId="1125" xr:uid="{00000000-0005-0000-0000-000082040000}"/>
    <cellStyle name="백_출장계획서_전장회장님보고자료_Book2_토요(0317)_토요안건(0331)" xfId="1126" xr:uid="{00000000-0005-0000-0000-000083040000}"/>
    <cellStyle name="백_출장계획서_전장회장님보고자료_Book2_토요(0317)_토요안건(0331)_Sheet1" xfId="1127" xr:uid="{00000000-0005-0000-0000-000084040000}"/>
    <cellStyle name="백_출장계획서_전장회장님보고자료_Book2_토요안건(0316)" xfId="1128" xr:uid="{00000000-0005-0000-0000-000085040000}"/>
    <cellStyle name="백_출장계획서_전장회장님보고자료_Book2_토요안건(0316)_Sheet1" xfId="1129" xr:uid="{00000000-0005-0000-0000-000086040000}"/>
    <cellStyle name="백_출장계획서_전장회장님보고자료_Book2_토요안건(0316)_토요안건(0331)" xfId="1130" xr:uid="{00000000-0005-0000-0000-000087040000}"/>
    <cellStyle name="백_출장계획서_전장회장님보고자료_Book2_토요안건(0316)_토요안건(0331)_Sheet1" xfId="1131" xr:uid="{00000000-0005-0000-0000-000088040000}"/>
    <cellStyle name="백_출장계획서_전장회장님보고자료_Sheet1" xfId="1132" xr:uid="{00000000-0005-0000-0000-000089040000}"/>
    <cellStyle name="백_출장계획서_전장회장님보고자료_토요(0317)" xfId="1133" xr:uid="{00000000-0005-0000-0000-00008A040000}"/>
    <cellStyle name="백_출장계획서_전장회장님보고자료_토요(0317)_Sheet1" xfId="1134" xr:uid="{00000000-0005-0000-0000-00008B040000}"/>
    <cellStyle name="백_출장계획서_전장회장님보고자료_토요(0317)_토요안건(0331)" xfId="1135" xr:uid="{00000000-0005-0000-0000-00008C040000}"/>
    <cellStyle name="백_출장계획서_전장회장님보고자료_토요(0317)_토요안건(0331)_Sheet1" xfId="1136" xr:uid="{00000000-0005-0000-0000-00008D040000}"/>
    <cellStyle name="백_출장계획서_전장회장님보고자료_토요안건(0316)" xfId="1137" xr:uid="{00000000-0005-0000-0000-00008E040000}"/>
    <cellStyle name="백_출장계획서_전장회장님보고자료_토요안건(0316)_Sheet1" xfId="1138" xr:uid="{00000000-0005-0000-0000-00008F040000}"/>
    <cellStyle name="백_출장계획서_전장회장님보고자료_토요안건(0316)_토요안건(0331)" xfId="1139" xr:uid="{00000000-0005-0000-0000-000090040000}"/>
    <cellStyle name="백_출장계획서_전장회장님보고자료_토요안건(0316)_토요안건(0331)_Sheet1" xfId="1140" xr:uid="{00000000-0005-0000-0000-000091040000}"/>
    <cellStyle name="백_출장계획서_토요(0317)" xfId="1141" xr:uid="{00000000-0005-0000-0000-000092040000}"/>
    <cellStyle name="백_출장계획서_토요(0317)_Sheet1" xfId="1142" xr:uid="{00000000-0005-0000-0000-000093040000}"/>
    <cellStyle name="백_출장계획서_토요(0317)_토요안건(0331)" xfId="1143" xr:uid="{00000000-0005-0000-0000-000094040000}"/>
    <cellStyle name="백_출장계획서_토요(0317)_토요안건(0331)_Sheet1" xfId="1144" xr:uid="{00000000-0005-0000-0000-000095040000}"/>
    <cellStyle name="백_출장계획서_토요안건(0316)" xfId="1145" xr:uid="{00000000-0005-0000-0000-000096040000}"/>
    <cellStyle name="백_출장계획서_토요안건(0316)_Sheet1" xfId="1146" xr:uid="{00000000-0005-0000-0000-000097040000}"/>
    <cellStyle name="백_출장계획서_토요안건(0316)_토요안건(0331)" xfId="1147" xr:uid="{00000000-0005-0000-0000-000098040000}"/>
    <cellStyle name="백_출장계획서_토요안건(0316)_토요안건(0331)_Sheet1" xfId="1148" xr:uid="{00000000-0005-0000-0000-000099040000}"/>
    <cellStyle name="백_현안과제QIR4(rio)" xfId="1149" xr:uid="{00000000-0005-0000-0000-00009A040000}"/>
    <cellStyle name="백_현안과제QIR4(rio)_~0044114" xfId="1150" xr:uid="{00000000-0005-0000-0000-00009B040000}"/>
    <cellStyle name="백_현안과제QIR4(rio)_~0044114_Sheet1" xfId="1151" xr:uid="{00000000-0005-0000-0000-00009C040000}"/>
    <cellStyle name="백_현안과제QIR4(rio)_~0044114_토요(0317)" xfId="1152" xr:uid="{00000000-0005-0000-0000-00009D040000}"/>
    <cellStyle name="백_현안과제QIR4(rio)_~0044114_토요(0317)_Sheet1" xfId="1153" xr:uid="{00000000-0005-0000-0000-00009E040000}"/>
    <cellStyle name="백_현안과제QIR4(rio)_~0044114_토요(0317)_토요안건(0331)" xfId="1154" xr:uid="{00000000-0005-0000-0000-00009F040000}"/>
    <cellStyle name="백_현안과제QIR4(rio)_~0044114_토요(0317)_토요안건(0331)_Sheet1" xfId="1155" xr:uid="{00000000-0005-0000-0000-0000A0040000}"/>
    <cellStyle name="백_현안과제QIR4(rio)_~0044114_토요안건(0316)" xfId="1156" xr:uid="{00000000-0005-0000-0000-0000A1040000}"/>
    <cellStyle name="백_현안과제QIR4(rio)_~0044114_토요안건(0316)_Sheet1" xfId="1157" xr:uid="{00000000-0005-0000-0000-0000A2040000}"/>
    <cellStyle name="백_현안과제QIR4(rio)_~0044114_토요안건(0316)_토요안건(0331)" xfId="1158" xr:uid="{00000000-0005-0000-0000-0000A3040000}"/>
    <cellStyle name="백_현안과제QIR4(rio)_~0044114_토요안건(0316)_토요안건(0331)_Sheet1" xfId="1159" xr:uid="{00000000-0005-0000-0000-0000A4040000}"/>
    <cellStyle name="백_현안과제QIR4(rio)_Book2" xfId="1160" xr:uid="{00000000-0005-0000-0000-0000A5040000}"/>
    <cellStyle name="백_현안과제QIR4(rio)_Book2_Sheet1" xfId="1161" xr:uid="{00000000-0005-0000-0000-0000A6040000}"/>
    <cellStyle name="백_현안과제QIR4(rio)_Book2_토요(0317)" xfId="1162" xr:uid="{00000000-0005-0000-0000-0000A7040000}"/>
    <cellStyle name="백_현안과제QIR4(rio)_Book2_토요(0317)_Sheet1" xfId="1163" xr:uid="{00000000-0005-0000-0000-0000A8040000}"/>
    <cellStyle name="백_현안과제QIR4(rio)_Book2_토요(0317)_토요안건(0331)" xfId="1164" xr:uid="{00000000-0005-0000-0000-0000A9040000}"/>
    <cellStyle name="백_현안과제QIR4(rio)_Book2_토요(0317)_토요안건(0331)_Sheet1" xfId="1165" xr:uid="{00000000-0005-0000-0000-0000AA040000}"/>
    <cellStyle name="백_현안과제QIR4(rio)_Book2_토요안건(0316)" xfId="1166" xr:uid="{00000000-0005-0000-0000-0000AB040000}"/>
    <cellStyle name="백_현안과제QIR4(rio)_Book2_토요안건(0316)_Sheet1" xfId="1167" xr:uid="{00000000-0005-0000-0000-0000AC040000}"/>
    <cellStyle name="백_현안과제QIR4(rio)_Book2_토요안건(0316)_토요안건(0331)" xfId="1168" xr:uid="{00000000-0005-0000-0000-0000AD040000}"/>
    <cellStyle name="백_현안과제QIR4(rio)_Book2_토요안건(0316)_토요안건(0331)_Sheet1" xfId="1169" xr:uid="{00000000-0005-0000-0000-0000AE040000}"/>
    <cellStyle name="백_현안과제QIR4(rio)_Sheet1" xfId="1170" xr:uid="{00000000-0005-0000-0000-0000AF040000}"/>
    <cellStyle name="백_현안과제QIR4(rio)_신전장기능성품질문제점보고0315" xfId="1171" xr:uid="{00000000-0005-0000-0000-0000B0040000}"/>
    <cellStyle name="백_현안과제QIR4(rio)_신전장기능성품질문제점보고0315_~0044114" xfId="1172" xr:uid="{00000000-0005-0000-0000-0000B1040000}"/>
    <cellStyle name="백_현안과제QIR4(rio)_신전장기능성품질문제점보고0315_~0044114_Sheet1" xfId="1173" xr:uid="{00000000-0005-0000-0000-0000B2040000}"/>
    <cellStyle name="백_현안과제QIR4(rio)_신전장기능성품질문제점보고0315_~0044114_토요(0317)" xfId="1174" xr:uid="{00000000-0005-0000-0000-0000B3040000}"/>
    <cellStyle name="백_현안과제QIR4(rio)_신전장기능성품질문제점보고0315_~0044114_토요(0317)_Sheet1" xfId="1175" xr:uid="{00000000-0005-0000-0000-0000B4040000}"/>
    <cellStyle name="백_현안과제QIR4(rio)_신전장기능성품질문제점보고0315_~0044114_토요(0317)_토요안건(0331)" xfId="1176" xr:uid="{00000000-0005-0000-0000-0000B5040000}"/>
    <cellStyle name="백_현안과제QIR4(rio)_신전장기능성품질문제점보고0315_~0044114_토요(0317)_토요안건(0331)_Sheet1" xfId="1177" xr:uid="{00000000-0005-0000-0000-0000B6040000}"/>
    <cellStyle name="백_현안과제QIR4(rio)_신전장기능성품질문제점보고0315_~0044114_토요안건(0316)" xfId="1178" xr:uid="{00000000-0005-0000-0000-0000B7040000}"/>
    <cellStyle name="백_현안과제QIR4(rio)_신전장기능성품질문제점보고0315_~0044114_토요안건(0316)_Sheet1" xfId="1179" xr:uid="{00000000-0005-0000-0000-0000B8040000}"/>
    <cellStyle name="백_현안과제QIR4(rio)_신전장기능성품질문제점보고0315_~0044114_토요안건(0316)_토요안건(0331)" xfId="1180" xr:uid="{00000000-0005-0000-0000-0000B9040000}"/>
    <cellStyle name="백_현안과제QIR4(rio)_신전장기능성품질문제점보고0315_~0044114_토요안건(0316)_토요안건(0331)_Sheet1" xfId="1181" xr:uid="{00000000-0005-0000-0000-0000BA040000}"/>
    <cellStyle name="백_현안과제QIR4(rio)_신전장기능성품질문제점보고0315_Book2" xfId="1182" xr:uid="{00000000-0005-0000-0000-0000BB040000}"/>
    <cellStyle name="백_현안과제QIR4(rio)_신전장기능성품질문제점보고0315_Book2_Sheet1" xfId="1183" xr:uid="{00000000-0005-0000-0000-0000BC040000}"/>
    <cellStyle name="백_현안과제QIR4(rio)_신전장기능성품질문제점보고0315_Book2_토요(0317)" xfId="1184" xr:uid="{00000000-0005-0000-0000-0000BD040000}"/>
    <cellStyle name="백_현안과제QIR4(rio)_신전장기능성품질문제점보고0315_Book2_토요(0317)_Sheet1" xfId="1185" xr:uid="{00000000-0005-0000-0000-0000BE040000}"/>
    <cellStyle name="백_현안과제QIR4(rio)_신전장기능성품질문제점보고0315_Book2_토요(0317)_토요안건(0331)" xfId="1186" xr:uid="{00000000-0005-0000-0000-0000BF040000}"/>
    <cellStyle name="백_현안과제QIR4(rio)_신전장기능성품질문제점보고0315_Book2_토요(0317)_토요안건(0331)_Sheet1" xfId="1187" xr:uid="{00000000-0005-0000-0000-0000C0040000}"/>
    <cellStyle name="백_현안과제QIR4(rio)_신전장기능성품질문제점보고0315_Book2_토요안건(0316)" xfId="1188" xr:uid="{00000000-0005-0000-0000-0000C1040000}"/>
    <cellStyle name="백_현안과제QIR4(rio)_신전장기능성품질문제점보고0315_Book2_토요안건(0316)_Sheet1" xfId="1189" xr:uid="{00000000-0005-0000-0000-0000C2040000}"/>
    <cellStyle name="백_현안과제QIR4(rio)_신전장기능성품질문제점보고0315_Book2_토요안건(0316)_토요안건(0331)" xfId="1190" xr:uid="{00000000-0005-0000-0000-0000C3040000}"/>
    <cellStyle name="백_현안과제QIR4(rio)_신전장기능성품질문제점보고0315_Book2_토요안건(0316)_토요안건(0331)_Sheet1" xfId="1191" xr:uid="{00000000-0005-0000-0000-0000C4040000}"/>
    <cellStyle name="백_현안과제QIR4(rio)_신전장기능성품질문제점보고0315_Sheet1" xfId="1192" xr:uid="{00000000-0005-0000-0000-0000C5040000}"/>
    <cellStyle name="백_현안과제QIR4(rio)_신전장기능성품질문제점보고0315_토요(0317)" xfId="1193" xr:uid="{00000000-0005-0000-0000-0000C6040000}"/>
    <cellStyle name="백_현안과제QIR4(rio)_신전장기능성품질문제점보고0315_토요(0317)_Sheet1" xfId="1194" xr:uid="{00000000-0005-0000-0000-0000C7040000}"/>
    <cellStyle name="백_현안과제QIR4(rio)_신전장기능성품질문제점보고0315_토요(0317)_토요안건(0331)" xfId="1195" xr:uid="{00000000-0005-0000-0000-0000C8040000}"/>
    <cellStyle name="백_현안과제QIR4(rio)_신전장기능성품질문제점보고0315_토요(0317)_토요안건(0331)_Sheet1" xfId="1196" xr:uid="{00000000-0005-0000-0000-0000C9040000}"/>
    <cellStyle name="백_현안과제QIR4(rio)_신전장기능성품질문제점보고0315_토요안건(0316)" xfId="1197" xr:uid="{00000000-0005-0000-0000-0000CA040000}"/>
    <cellStyle name="백_현안과제QIR4(rio)_신전장기능성품질문제점보고0315_토요안건(0316)_Sheet1" xfId="1198" xr:uid="{00000000-0005-0000-0000-0000CB040000}"/>
    <cellStyle name="백_현안과제QIR4(rio)_신전장기능성품질문제점보고0315_토요안건(0316)_토요안건(0331)" xfId="1199" xr:uid="{00000000-0005-0000-0000-0000CC040000}"/>
    <cellStyle name="백_현안과제QIR4(rio)_신전장기능성품질문제점보고0315_토요안건(0316)_토요안건(0331)_Sheet1" xfId="1200" xr:uid="{00000000-0005-0000-0000-0000CD040000}"/>
    <cellStyle name="백_현안과제QIR4(rio)_전장기능성품질문제점진척보고" xfId="1201" xr:uid="{00000000-0005-0000-0000-0000CE040000}"/>
    <cellStyle name="백_현안과제QIR4(rio)_전장기능성품질문제점진척보고_~0044114" xfId="1202" xr:uid="{00000000-0005-0000-0000-0000CF040000}"/>
    <cellStyle name="백_현안과제QIR4(rio)_전장기능성품질문제점진척보고_~0044114_Sheet1" xfId="1203" xr:uid="{00000000-0005-0000-0000-0000D0040000}"/>
    <cellStyle name="백_현안과제QIR4(rio)_전장기능성품질문제점진척보고_~0044114_토요(0317)" xfId="1204" xr:uid="{00000000-0005-0000-0000-0000D1040000}"/>
    <cellStyle name="백_현안과제QIR4(rio)_전장기능성품질문제점진척보고_~0044114_토요(0317)_Sheet1" xfId="1205" xr:uid="{00000000-0005-0000-0000-0000D2040000}"/>
    <cellStyle name="백_현안과제QIR4(rio)_전장기능성품질문제점진척보고_~0044114_토요(0317)_토요안건(0331)" xfId="1206" xr:uid="{00000000-0005-0000-0000-0000D3040000}"/>
    <cellStyle name="백_현안과제QIR4(rio)_전장기능성품질문제점진척보고_~0044114_토요(0317)_토요안건(0331)_Sheet1" xfId="1207" xr:uid="{00000000-0005-0000-0000-0000D4040000}"/>
    <cellStyle name="백_현안과제QIR4(rio)_전장기능성품질문제점진척보고_~0044114_토요안건(0316)" xfId="1208" xr:uid="{00000000-0005-0000-0000-0000D5040000}"/>
    <cellStyle name="백_현안과제QIR4(rio)_전장기능성품질문제점진척보고_~0044114_토요안건(0316)_Sheet1" xfId="1209" xr:uid="{00000000-0005-0000-0000-0000D6040000}"/>
    <cellStyle name="백_현안과제QIR4(rio)_전장기능성품질문제점진척보고_~0044114_토요안건(0316)_토요안건(0331)" xfId="1210" xr:uid="{00000000-0005-0000-0000-0000D7040000}"/>
    <cellStyle name="백_현안과제QIR4(rio)_전장기능성품질문제점진척보고_~0044114_토요안건(0316)_토요안건(0331)_Sheet1" xfId="1211" xr:uid="{00000000-0005-0000-0000-0000D8040000}"/>
    <cellStyle name="백_현안과제QIR4(rio)_전장기능성품질문제점진척보고_Book2" xfId="1212" xr:uid="{00000000-0005-0000-0000-0000D9040000}"/>
    <cellStyle name="백_현안과제QIR4(rio)_전장기능성품질문제점진척보고_Book2_Sheet1" xfId="1213" xr:uid="{00000000-0005-0000-0000-0000DA040000}"/>
    <cellStyle name="백_현안과제QIR4(rio)_전장기능성품질문제점진척보고_Book2_토요(0317)" xfId="1214" xr:uid="{00000000-0005-0000-0000-0000DB040000}"/>
    <cellStyle name="백_현안과제QIR4(rio)_전장기능성품질문제점진척보고_Book2_토요(0317)_Sheet1" xfId="1215" xr:uid="{00000000-0005-0000-0000-0000DC040000}"/>
    <cellStyle name="백_현안과제QIR4(rio)_전장기능성품질문제점진척보고_Book2_토요(0317)_토요안건(0331)" xfId="1216" xr:uid="{00000000-0005-0000-0000-0000DD040000}"/>
    <cellStyle name="백_현안과제QIR4(rio)_전장기능성품질문제점진척보고_Book2_토요(0317)_토요안건(0331)_Sheet1" xfId="1217" xr:uid="{00000000-0005-0000-0000-0000DE040000}"/>
    <cellStyle name="백_현안과제QIR4(rio)_전장기능성품질문제점진척보고_Book2_토요안건(0316)" xfId="1218" xr:uid="{00000000-0005-0000-0000-0000DF040000}"/>
    <cellStyle name="백_현안과제QIR4(rio)_전장기능성품질문제점진척보고_Book2_토요안건(0316)_Sheet1" xfId="1219" xr:uid="{00000000-0005-0000-0000-0000E0040000}"/>
    <cellStyle name="백_현안과제QIR4(rio)_전장기능성품질문제점진척보고_Book2_토요안건(0316)_토요안건(0331)" xfId="1220" xr:uid="{00000000-0005-0000-0000-0000E1040000}"/>
    <cellStyle name="백_현안과제QIR4(rio)_전장기능성품질문제점진척보고_Book2_토요안건(0316)_토요안건(0331)_Sheet1" xfId="1221" xr:uid="{00000000-0005-0000-0000-0000E2040000}"/>
    <cellStyle name="백_현안과제QIR4(rio)_전장기능성품질문제점진척보고_Sheet1" xfId="1222" xr:uid="{00000000-0005-0000-0000-0000E3040000}"/>
    <cellStyle name="백_현안과제QIR4(rio)_전장기능성품질문제점진척보고_토요(0317)" xfId="1223" xr:uid="{00000000-0005-0000-0000-0000E4040000}"/>
    <cellStyle name="백_현안과제QIR4(rio)_전장기능성품질문제점진척보고_토요(0317)_Sheet1" xfId="1224" xr:uid="{00000000-0005-0000-0000-0000E5040000}"/>
    <cellStyle name="백_현안과제QIR4(rio)_전장기능성품질문제점진척보고_토요(0317)_토요안건(0331)" xfId="1225" xr:uid="{00000000-0005-0000-0000-0000E6040000}"/>
    <cellStyle name="백_현안과제QIR4(rio)_전장기능성품질문제점진척보고_토요(0317)_토요안건(0331)_Sheet1" xfId="1226" xr:uid="{00000000-0005-0000-0000-0000E7040000}"/>
    <cellStyle name="백_현안과제QIR4(rio)_전장기능성품질문제점진척보고_토요안건(0316)" xfId="1227" xr:uid="{00000000-0005-0000-0000-0000E8040000}"/>
    <cellStyle name="백_현안과제QIR4(rio)_전장기능성품질문제점진척보고_토요안건(0316)_Sheet1" xfId="1228" xr:uid="{00000000-0005-0000-0000-0000E9040000}"/>
    <cellStyle name="백_현안과제QIR4(rio)_전장기능성품질문제점진척보고_토요안건(0316)_토요안건(0331)" xfId="1229" xr:uid="{00000000-0005-0000-0000-0000EA040000}"/>
    <cellStyle name="백_현안과제QIR4(rio)_전장기능성품질문제점진척보고_토요안건(0316)_토요안건(0331)_Sheet1" xfId="1230" xr:uid="{00000000-0005-0000-0000-0000EB040000}"/>
    <cellStyle name="백_현안과제QIR4(rio)_전장회장님보고자료" xfId="1231" xr:uid="{00000000-0005-0000-0000-0000EC040000}"/>
    <cellStyle name="백_현안과제QIR4(rio)_전장회장님보고자료_~0044114" xfId="1232" xr:uid="{00000000-0005-0000-0000-0000ED040000}"/>
    <cellStyle name="백_현안과제QIR4(rio)_전장회장님보고자료_~0044114_Sheet1" xfId="1233" xr:uid="{00000000-0005-0000-0000-0000EE040000}"/>
    <cellStyle name="백_현안과제QIR4(rio)_전장회장님보고자료_~0044114_토요(0317)" xfId="1234" xr:uid="{00000000-0005-0000-0000-0000EF040000}"/>
    <cellStyle name="백_현안과제QIR4(rio)_전장회장님보고자료_~0044114_토요(0317)_Sheet1" xfId="1235" xr:uid="{00000000-0005-0000-0000-0000F0040000}"/>
    <cellStyle name="백_현안과제QIR4(rio)_전장회장님보고자료_~0044114_토요(0317)_토요안건(0331)" xfId="1236" xr:uid="{00000000-0005-0000-0000-0000F1040000}"/>
    <cellStyle name="백_현안과제QIR4(rio)_전장회장님보고자료_~0044114_토요(0317)_토요안건(0331)_Sheet1" xfId="1237" xr:uid="{00000000-0005-0000-0000-0000F2040000}"/>
    <cellStyle name="백_현안과제QIR4(rio)_전장회장님보고자료_~0044114_토요안건(0316)" xfId="1238" xr:uid="{00000000-0005-0000-0000-0000F3040000}"/>
    <cellStyle name="백_현안과제QIR4(rio)_전장회장님보고자료_~0044114_토요안건(0316)_Sheet1" xfId="1239" xr:uid="{00000000-0005-0000-0000-0000F4040000}"/>
    <cellStyle name="백_현안과제QIR4(rio)_전장회장님보고자료_~0044114_토요안건(0316)_토요안건(0331)" xfId="1240" xr:uid="{00000000-0005-0000-0000-0000F5040000}"/>
    <cellStyle name="백_현안과제QIR4(rio)_전장회장님보고자료_~0044114_토요안건(0316)_토요안건(0331)_Sheet1" xfId="1241" xr:uid="{00000000-0005-0000-0000-0000F6040000}"/>
    <cellStyle name="백_현안과제QIR4(rio)_전장회장님보고자료_Book2" xfId="1242" xr:uid="{00000000-0005-0000-0000-0000F7040000}"/>
    <cellStyle name="백_현안과제QIR4(rio)_전장회장님보고자료_Book2_Sheet1" xfId="1243" xr:uid="{00000000-0005-0000-0000-0000F8040000}"/>
    <cellStyle name="백_현안과제QIR4(rio)_전장회장님보고자료_Book2_토요(0317)" xfId="1244" xr:uid="{00000000-0005-0000-0000-0000F9040000}"/>
    <cellStyle name="백_현안과제QIR4(rio)_전장회장님보고자료_Book2_토요(0317)_Sheet1" xfId="1245" xr:uid="{00000000-0005-0000-0000-0000FA040000}"/>
    <cellStyle name="백_현안과제QIR4(rio)_전장회장님보고자료_Book2_토요(0317)_토요안건(0331)" xfId="1246" xr:uid="{00000000-0005-0000-0000-0000FB040000}"/>
    <cellStyle name="백_현안과제QIR4(rio)_전장회장님보고자료_Book2_토요(0317)_토요안건(0331)_Sheet1" xfId="1247" xr:uid="{00000000-0005-0000-0000-0000FC040000}"/>
    <cellStyle name="백_현안과제QIR4(rio)_전장회장님보고자료_Book2_토요안건(0316)" xfId="1248" xr:uid="{00000000-0005-0000-0000-0000FD040000}"/>
    <cellStyle name="백_현안과제QIR4(rio)_전장회장님보고자료_Book2_토요안건(0316)_Sheet1" xfId="1249" xr:uid="{00000000-0005-0000-0000-0000FE040000}"/>
    <cellStyle name="백_현안과제QIR4(rio)_전장회장님보고자료_Book2_토요안건(0316)_토요안건(0331)" xfId="1250" xr:uid="{00000000-0005-0000-0000-0000FF040000}"/>
    <cellStyle name="백_현안과제QIR4(rio)_전장회장님보고자료_Book2_토요안건(0316)_토요안건(0331)_Sheet1" xfId="1251" xr:uid="{00000000-0005-0000-0000-000000050000}"/>
    <cellStyle name="백_현안과제QIR4(rio)_전장회장님보고자료_Sheet1" xfId="1252" xr:uid="{00000000-0005-0000-0000-000001050000}"/>
    <cellStyle name="백_현안과제QIR4(rio)_전장회장님보고자료_토요(0317)" xfId="1253" xr:uid="{00000000-0005-0000-0000-000002050000}"/>
    <cellStyle name="백_현안과제QIR4(rio)_전장회장님보고자료_토요(0317)_Sheet1" xfId="1254" xr:uid="{00000000-0005-0000-0000-000003050000}"/>
    <cellStyle name="백_현안과제QIR4(rio)_전장회장님보고자료_토요(0317)_토요안건(0331)" xfId="1255" xr:uid="{00000000-0005-0000-0000-000004050000}"/>
    <cellStyle name="백_현안과제QIR4(rio)_전장회장님보고자료_토요(0317)_토요안건(0331)_Sheet1" xfId="1256" xr:uid="{00000000-0005-0000-0000-000005050000}"/>
    <cellStyle name="백_현안과제QIR4(rio)_전장회장님보고자료_토요안건(0316)" xfId="1257" xr:uid="{00000000-0005-0000-0000-000006050000}"/>
    <cellStyle name="백_현안과제QIR4(rio)_전장회장님보고자료_토요안건(0316)_Sheet1" xfId="1258" xr:uid="{00000000-0005-0000-0000-000007050000}"/>
    <cellStyle name="백_현안과제QIR4(rio)_전장회장님보고자료_토요안건(0316)_토요안건(0331)" xfId="1259" xr:uid="{00000000-0005-0000-0000-000008050000}"/>
    <cellStyle name="백_현안과제QIR4(rio)_전장회장님보고자료_토요안건(0316)_토요안건(0331)_Sheet1" xfId="1260" xr:uid="{00000000-0005-0000-0000-000009050000}"/>
    <cellStyle name="백_현안과제QIR4(rio)_토요(0317)" xfId="1261" xr:uid="{00000000-0005-0000-0000-00000A050000}"/>
    <cellStyle name="백_현안과제QIR4(rio)_토요(0317)_Sheet1" xfId="1262" xr:uid="{00000000-0005-0000-0000-00000B050000}"/>
    <cellStyle name="백_현안과제QIR4(rio)_토요(0317)_토요안건(0331)" xfId="1263" xr:uid="{00000000-0005-0000-0000-00000C050000}"/>
    <cellStyle name="백_현안과제QIR4(rio)_토요(0317)_토요안건(0331)_Sheet1" xfId="1264" xr:uid="{00000000-0005-0000-0000-00000D050000}"/>
    <cellStyle name="백_현안과제QIR4(rio)_토요안건(0316)" xfId="1265" xr:uid="{00000000-0005-0000-0000-00000E050000}"/>
    <cellStyle name="백_현안과제QIR4(rio)_토요안건(0316)_Sheet1" xfId="1266" xr:uid="{00000000-0005-0000-0000-00000F050000}"/>
    <cellStyle name="백_현안과제QIR4(rio)_토요안건(0316)_토요안건(0331)" xfId="1267" xr:uid="{00000000-0005-0000-0000-000010050000}"/>
    <cellStyle name="백_현안과제QIR4(rio)_토요안건(0316)_토요안건(0331)_Sheet1" xfId="1268" xr:uid="{00000000-0005-0000-0000-000011050000}"/>
    <cellStyle name="백분율_95" xfId="1269" xr:uid="{00000000-0005-0000-0000-000012050000}"/>
    <cellStyle name="보통" xfId="1270" xr:uid="{00000000-0005-0000-0000-000013050000}"/>
    <cellStyle name="뷭?_BOOKSHIP" xfId="1271" xr:uid="{00000000-0005-0000-0000-000014050000}"/>
    <cellStyle name="뷰A? [0]_엄넷?? " xfId="1272" xr:uid="{00000000-0005-0000-0000-000015050000}"/>
    <cellStyle name="뷰A?_엄넷?? " xfId="1273" xr:uid="{00000000-0005-0000-0000-000016050000}"/>
    <cellStyle name="설명 텍스트" xfId="1274" xr:uid="{00000000-0005-0000-0000-000017050000}"/>
    <cellStyle name="셀 확인" xfId="1275" xr:uid="{00000000-0005-0000-0000-000018050000}"/>
    <cellStyle name="쉼표 [0] 2" xfId="1276" xr:uid="{00000000-0005-0000-0000-000019050000}"/>
    <cellStyle name="쉼표 [0] 3" xfId="1277" xr:uid="{00000000-0005-0000-0000-00001A050000}"/>
    <cellStyle name="쉼표 [0] 4" xfId="1278" xr:uid="{00000000-0005-0000-0000-00001B050000}"/>
    <cellStyle name="쉼표 [0]_PCS-3~1" xfId="1279" xr:uid="{00000000-0005-0000-0000-00001C050000}"/>
    <cellStyle name="쉼표_EQ_ROOM cost" xfId="1280" xr:uid="{00000000-0005-0000-0000-00001D050000}"/>
    <cellStyle name="연결된 셀" xfId="1281" xr:uid="{00000000-0005-0000-0000-00001E050000}"/>
    <cellStyle name="요약" xfId="1282" xr:uid="{00000000-0005-0000-0000-00001F050000}"/>
    <cellStyle name="입력" xfId="1283" xr:uid="{00000000-0005-0000-0000-000020050000}"/>
    <cellStyle name="자리수_V-200제작추진 " xfId="1284" xr:uid="{00000000-0005-0000-0000-000021050000}"/>
    <cellStyle name="자리수0_V-200제작추진 " xfId="1285" xr:uid="{00000000-0005-0000-0000-000022050000}"/>
    <cellStyle name="제목" xfId="1286" xr:uid="{00000000-0005-0000-0000-000023050000}"/>
    <cellStyle name="제목 1" xfId="1287" xr:uid="{00000000-0005-0000-0000-000024050000}"/>
    <cellStyle name="제목 2" xfId="1288" xr:uid="{00000000-0005-0000-0000-000025050000}"/>
    <cellStyle name="제목 3" xfId="1289" xr:uid="{00000000-0005-0000-0000-000026050000}"/>
    <cellStyle name="제목 4" xfId="1290" xr:uid="{00000000-0005-0000-0000-000027050000}"/>
    <cellStyle name="좋음" xfId="1291" xr:uid="{00000000-0005-0000-0000-000028050000}"/>
    <cellStyle name="지정되지 않음" xfId="1292" xr:uid="{00000000-0005-0000-0000-000029050000}"/>
    <cellStyle name="출력" xfId="1293" xr:uid="{00000000-0005-0000-0000-00002A050000}"/>
    <cellStyle name="콤" xfId="1294" xr:uid="{00000000-0005-0000-0000-00002B050000}"/>
    <cellStyle name="콤_출장계획서" xfId="1295" xr:uid="{00000000-0005-0000-0000-00002C050000}"/>
    <cellStyle name="콤_출장계획서_~0044114" xfId="1296" xr:uid="{00000000-0005-0000-0000-00002D050000}"/>
    <cellStyle name="콤_출장계획서_~0044114_Sheet1" xfId="1297" xr:uid="{00000000-0005-0000-0000-00002E050000}"/>
    <cellStyle name="콤_출장계획서_~0044114_토요(0317)" xfId="1298" xr:uid="{00000000-0005-0000-0000-00002F050000}"/>
    <cellStyle name="콤_출장계획서_~0044114_토요(0317)_Sheet1" xfId="1299" xr:uid="{00000000-0005-0000-0000-000030050000}"/>
    <cellStyle name="콤_출장계획서_~0044114_토요(0317)_토요안건(0331)" xfId="1300" xr:uid="{00000000-0005-0000-0000-000031050000}"/>
    <cellStyle name="콤_출장계획서_~0044114_토요(0317)_토요안건(0331)_Sheet1" xfId="1301" xr:uid="{00000000-0005-0000-0000-000032050000}"/>
    <cellStyle name="콤_출장계획서_~0044114_토요안건(0316)" xfId="1302" xr:uid="{00000000-0005-0000-0000-000033050000}"/>
    <cellStyle name="콤_출장계획서_~0044114_토요안건(0316)_Sheet1" xfId="1303" xr:uid="{00000000-0005-0000-0000-000034050000}"/>
    <cellStyle name="콤_출장계획서_~0044114_토요안건(0316)_토요안건(0331)" xfId="1304" xr:uid="{00000000-0005-0000-0000-000035050000}"/>
    <cellStyle name="콤_출장계획서_~0044114_토요안건(0316)_토요안건(0331)_Sheet1" xfId="1305" xr:uid="{00000000-0005-0000-0000-000036050000}"/>
    <cellStyle name="콤_출장계획서_Book2" xfId="1306" xr:uid="{00000000-0005-0000-0000-000037050000}"/>
    <cellStyle name="콤_출장계획서_Book2_Sheet1" xfId="1307" xr:uid="{00000000-0005-0000-0000-000038050000}"/>
    <cellStyle name="콤_출장계획서_Book2_토요(0317)" xfId="1308" xr:uid="{00000000-0005-0000-0000-000039050000}"/>
    <cellStyle name="콤_출장계획서_Book2_토요(0317)_Sheet1" xfId="1309" xr:uid="{00000000-0005-0000-0000-00003A050000}"/>
    <cellStyle name="콤_출장계획서_Book2_토요(0317)_토요안건(0331)" xfId="1310" xr:uid="{00000000-0005-0000-0000-00003B050000}"/>
    <cellStyle name="콤_출장계획서_Book2_토요(0317)_토요안건(0331)_Sheet1" xfId="1311" xr:uid="{00000000-0005-0000-0000-00003C050000}"/>
    <cellStyle name="콤_출장계획서_Book2_토요안건(0316)" xfId="1312" xr:uid="{00000000-0005-0000-0000-00003D050000}"/>
    <cellStyle name="콤_출장계획서_Book2_토요안건(0316)_Sheet1" xfId="1313" xr:uid="{00000000-0005-0000-0000-00003E050000}"/>
    <cellStyle name="콤_출장계획서_Book2_토요안건(0316)_토요안건(0331)" xfId="1314" xr:uid="{00000000-0005-0000-0000-00003F050000}"/>
    <cellStyle name="콤_출장계획서_Book2_토요안건(0316)_토요안건(0331)_Sheet1" xfId="1315" xr:uid="{00000000-0005-0000-0000-000040050000}"/>
    <cellStyle name="콤_출장계획서_Sheet1" xfId="1316" xr:uid="{00000000-0005-0000-0000-000041050000}"/>
    <cellStyle name="콤_출장계획서_신전장기능성품질문제점보고0315" xfId="1317" xr:uid="{00000000-0005-0000-0000-000042050000}"/>
    <cellStyle name="콤_출장계획서_신전장기능성품질문제점보고0315_~0044114" xfId="1318" xr:uid="{00000000-0005-0000-0000-000043050000}"/>
    <cellStyle name="콤_출장계획서_신전장기능성품질문제점보고0315_~0044114_Sheet1" xfId="1319" xr:uid="{00000000-0005-0000-0000-000044050000}"/>
    <cellStyle name="콤_출장계획서_신전장기능성품질문제점보고0315_~0044114_토요(0317)" xfId="1320" xr:uid="{00000000-0005-0000-0000-000045050000}"/>
    <cellStyle name="콤_출장계획서_신전장기능성품질문제점보고0315_~0044114_토요(0317)_Sheet1" xfId="1321" xr:uid="{00000000-0005-0000-0000-000046050000}"/>
    <cellStyle name="콤_출장계획서_신전장기능성품질문제점보고0315_~0044114_토요(0317)_토요안건(0331)" xfId="1322" xr:uid="{00000000-0005-0000-0000-000047050000}"/>
    <cellStyle name="콤_출장계획서_신전장기능성품질문제점보고0315_~0044114_토요(0317)_토요안건(0331)_Sheet1" xfId="1323" xr:uid="{00000000-0005-0000-0000-000048050000}"/>
    <cellStyle name="콤_출장계획서_신전장기능성품질문제점보고0315_~0044114_토요안건(0316)" xfId="1324" xr:uid="{00000000-0005-0000-0000-000049050000}"/>
    <cellStyle name="콤_출장계획서_신전장기능성품질문제점보고0315_~0044114_토요안건(0316)_Sheet1" xfId="1325" xr:uid="{00000000-0005-0000-0000-00004A050000}"/>
    <cellStyle name="콤_출장계획서_신전장기능성품질문제점보고0315_~0044114_토요안건(0316)_토요안건(0331)" xfId="1326" xr:uid="{00000000-0005-0000-0000-00004B050000}"/>
    <cellStyle name="콤_출장계획서_신전장기능성품질문제점보고0315_~0044114_토요안건(0316)_토요안건(0331)_Sheet1" xfId="1327" xr:uid="{00000000-0005-0000-0000-00004C050000}"/>
    <cellStyle name="콤_출장계획서_신전장기능성품질문제점보고0315_Book2" xfId="1328" xr:uid="{00000000-0005-0000-0000-00004D050000}"/>
    <cellStyle name="콤_출장계획서_신전장기능성품질문제점보고0315_Book2_Sheet1" xfId="1329" xr:uid="{00000000-0005-0000-0000-00004E050000}"/>
    <cellStyle name="콤_출장계획서_신전장기능성품질문제점보고0315_Book2_토요(0317)" xfId="1330" xr:uid="{00000000-0005-0000-0000-00004F050000}"/>
    <cellStyle name="콤_출장계획서_신전장기능성품질문제점보고0315_Book2_토요(0317)_Sheet1" xfId="1331" xr:uid="{00000000-0005-0000-0000-000050050000}"/>
    <cellStyle name="콤_출장계획서_신전장기능성품질문제점보고0315_Book2_토요(0317)_토요안건(0331)" xfId="1332" xr:uid="{00000000-0005-0000-0000-000051050000}"/>
    <cellStyle name="콤_출장계획서_신전장기능성품질문제점보고0315_Book2_토요(0317)_토요안건(0331)_Sheet1" xfId="1333" xr:uid="{00000000-0005-0000-0000-000052050000}"/>
    <cellStyle name="콤_출장계획서_신전장기능성품질문제점보고0315_Book2_토요안건(0316)" xfId="1334" xr:uid="{00000000-0005-0000-0000-000053050000}"/>
    <cellStyle name="콤_출장계획서_신전장기능성품질문제점보고0315_Book2_토요안건(0316)_Sheet1" xfId="1335" xr:uid="{00000000-0005-0000-0000-000054050000}"/>
    <cellStyle name="콤_출장계획서_신전장기능성품질문제점보고0315_Book2_토요안건(0316)_토요안건(0331)" xfId="1336" xr:uid="{00000000-0005-0000-0000-000055050000}"/>
    <cellStyle name="콤_출장계획서_신전장기능성품질문제점보고0315_Book2_토요안건(0316)_토요안건(0331)_Sheet1" xfId="1337" xr:uid="{00000000-0005-0000-0000-000056050000}"/>
    <cellStyle name="콤_출장계획서_신전장기능성품질문제점보고0315_Sheet1" xfId="1338" xr:uid="{00000000-0005-0000-0000-000057050000}"/>
    <cellStyle name="콤_출장계획서_신전장기능성품질문제점보고0315_토요(0317)" xfId="1339" xr:uid="{00000000-0005-0000-0000-000058050000}"/>
    <cellStyle name="콤_출장계획서_신전장기능성품질문제점보고0315_토요(0317)_Sheet1" xfId="1340" xr:uid="{00000000-0005-0000-0000-000059050000}"/>
    <cellStyle name="콤_출장계획서_신전장기능성품질문제점보고0315_토요(0317)_토요안건(0331)" xfId="1341" xr:uid="{00000000-0005-0000-0000-00005A050000}"/>
    <cellStyle name="콤_출장계획서_신전장기능성품질문제점보고0315_토요(0317)_토요안건(0331)_Sheet1" xfId="1342" xr:uid="{00000000-0005-0000-0000-00005B050000}"/>
    <cellStyle name="콤_출장계획서_신전장기능성품질문제점보고0315_토요안건(0316)" xfId="1343" xr:uid="{00000000-0005-0000-0000-00005C050000}"/>
    <cellStyle name="콤_출장계획서_신전장기능성품질문제점보고0315_토요안건(0316)_Sheet1" xfId="1344" xr:uid="{00000000-0005-0000-0000-00005D050000}"/>
    <cellStyle name="콤_출장계획서_신전장기능성품질문제점보고0315_토요안건(0316)_토요안건(0331)" xfId="1345" xr:uid="{00000000-0005-0000-0000-00005E050000}"/>
    <cellStyle name="콤_출장계획서_신전장기능성품질문제점보고0315_토요안건(0316)_토요안건(0331)_Sheet1" xfId="1346" xr:uid="{00000000-0005-0000-0000-00005F050000}"/>
    <cellStyle name="콤_출장계획서_전장기능성품질문제점진척보고" xfId="1347" xr:uid="{00000000-0005-0000-0000-000060050000}"/>
    <cellStyle name="콤_출장계획서_전장기능성품질문제점진척보고_~0044114" xfId="1348" xr:uid="{00000000-0005-0000-0000-000061050000}"/>
    <cellStyle name="콤_출장계획서_전장기능성품질문제점진척보고_~0044114_Sheet1" xfId="1349" xr:uid="{00000000-0005-0000-0000-000062050000}"/>
    <cellStyle name="콤_출장계획서_전장기능성품질문제점진척보고_~0044114_토요(0317)" xfId="1350" xr:uid="{00000000-0005-0000-0000-000063050000}"/>
    <cellStyle name="콤_출장계획서_전장기능성품질문제점진척보고_~0044114_토요(0317)_Sheet1" xfId="1351" xr:uid="{00000000-0005-0000-0000-000064050000}"/>
    <cellStyle name="콤_출장계획서_전장기능성품질문제점진척보고_~0044114_토요(0317)_토요안건(0331)" xfId="1352" xr:uid="{00000000-0005-0000-0000-000065050000}"/>
    <cellStyle name="콤_출장계획서_전장기능성품질문제점진척보고_~0044114_토요(0317)_토요안건(0331)_Sheet1" xfId="1353" xr:uid="{00000000-0005-0000-0000-000066050000}"/>
    <cellStyle name="콤_출장계획서_전장기능성품질문제점진척보고_~0044114_토요안건(0316)" xfId="1354" xr:uid="{00000000-0005-0000-0000-000067050000}"/>
    <cellStyle name="콤_출장계획서_전장기능성품질문제점진척보고_~0044114_토요안건(0316)_Sheet1" xfId="1355" xr:uid="{00000000-0005-0000-0000-000068050000}"/>
    <cellStyle name="콤_출장계획서_전장기능성품질문제점진척보고_~0044114_토요안건(0316)_토요안건(0331)" xfId="1356" xr:uid="{00000000-0005-0000-0000-000069050000}"/>
    <cellStyle name="콤_출장계획서_전장기능성품질문제점진척보고_~0044114_토요안건(0316)_토요안건(0331)_Sheet1" xfId="1357" xr:uid="{00000000-0005-0000-0000-00006A050000}"/>
    <cellStyle name="콤_출장계획서_전장기능성품질문제점진척보고_Book2" xfId="1358" xr:uid="{00000000-0005-0000-0000-00006B050000}"/>
    <cellStyle name="콤_출장계획서_전장기능성품질문제점진척보고_Book2_Sheet1" xfId="1359" xr:uid="{00000000-0005-0000-0000-00006C050000}"/>
    <cellStyle name="콤_출장계획서_전장기능성품질문제점진척보고_Book2_토요(0317)" xfId="1360" xr:uid="{00000000-0005-0000-0000-00006D050000}"/>
    <cellStyle name="콤_출장계획서_전장기능성품질문제점진척보고_Book2_토요(0317)_Sheet1" xfId="1361" xr:uid="{00000000-0005-0000-0000-00006E050000}"/>
    <cellStyle name="콤_출장계획서_전장기능성품질문제점진척보고_Book2_토요(0317)_토요안건(0331)" xfId="1362" xr:uid="{00000000-0005-0000-0000-00006F050000}"/>
    <cellStyle name="콤_출장계획서_전장기능성품질문제점진척보고_Book2_토요(0317)_토요안건(0331)_Sheet1" xfId="1363" xr:uid="{00000000-0005-0000-0000-000070050000}"/>
    <cellStyle name="콤_출장계획서_전장기능성품질문제점진척보고_Book2_토요안건(0316)" xfId="1364" xr:uid="{00000000-0005-0000-0000-000071050000}"/>
    <cellStyle name="콤_출장계획서_전장기능성품질문제점진척보고_Book2_토요안건(0316)_Sheet1" xfId="1365" xr:uid="{00000000-0005-0000-0000-000072050000}"/>
    <cellStyle name="콤_출장계획서_전장기능성품질문제점진척보고_Book2_토요안건(0316)_토요안건(0331)" xfId="1366" xr:uid="{00000000-0005-0000-0000-000073050000}"/>
    <cellStyle name="콤_출장계획서_전장기능성품질문제점진척보고_Book2_토요안건(0316)_토요안건(0331)_Sheet1" xfId="1367" xr:uid="{00000000-0005-0000-0000-000074050000}"/>
    <cellStyle name="콤_출장계획서_전장기능성품질문제점진척보고_Sheet1" xfId="1368" xr:uid="{00000000-0005-0000-0000-000075050000}"/>
    <cellStyle name="콤_출장계획서_전장기능성품질문제점진척보고_토요(0317)" xfId="1369" xr:uid="{00000000-0005-0000-0000-000076050000}"/>
    <cellStyle name="콤_출장계획서_전장기능성품질문제점진척보고_토요(0317)_Sheet1" xfId="1370" xr:uid="{00000000-0005-0000-0000-000077050000}"/>
    <cellStyle name="콤_출장계획서_전장기능성품질문제점진척보고_토요(0317)_토요안건(0331)" xfId="1371" xr:uid="{00000000-0005-0000-0000-000078050000}"/>
    <cellStyle name="콤_출장계획서_전장기능성품질문제점진척보고_토요(0317)_토요안건(0331)_Sheet1" xfId="1372" xr:uid="{00000000-0005-0000-0000-000079050000}"/>
    <cellStyle name="콤_출장계획서_전장기능성품질문제점진척보고_토요안건(0316)" xfId="1373" xr:uid="{00000000-0005-0000-0000-00007A050000}"/>
    <cellStyle name="콤_출장계획서_전장기능성품질문제점진척보고_토요안건(0316)_Sheet1" xfId="1374" xr:uid="{00000000-0005-0000-0000-00007B050000}"/>
    <cellStyle name="콤_출장계획서_전장기능성품질문제점진척보고_토요안건(0316)_토요안건(0331)" xfId="1375" xr:uid="{00000000-0005-0000-0000-00007C050000}"/>
    <cellStyle name="콤_출장계획서_전장기능성품질문제점진척보고_토요안건(0316)_토요안건(0331)_Sheet1" xfId="1376" xr:uid="{00000000-0005-0000-0000-00007D050000}"/>
    <cellStyle name="콤_출장계획서_전장회장님보고자료" xfId="1377" xr:uid="{00000000-0005-0000-0000-00007E050000}"/>
    <cellStyle name="콤_출장계획서_전장회장님보고자료_~0044114" xfId="1378" xr:uid="{00000000-0005-0000-0000-00007F050000}"/>
    <cellStyle name="콤_출장계획서_전장회장님보고자료_~0044114_Sheet1" xfId="1379" xr:uid="{00000000-0005-0000-0000-000080050000}"/>
    <cellStyle name="콤_출장계획서_전장회장님보고자료_~0044114_토요(0317)" xfId="1380" xr:uid="{00000000-0005-0000-0000-000081050000}"/>
    <cellStyle name="콤_출장계획서_전장회장님보고자료_~0044114_토요(0317)_Sheet1" xfId="1381" xr:uid="{00000000-0005-0000-0000-000082050000}"/>
    <cellStyle name="콤_출장계획서_전장회장님보고자료_~0044114_토요(0317)_토요안건(0331)" xfId="1382" xr:uid="{00000000-0005-0000-0000-000083050000}"/>
    <cellStyle name="콤_출장계획서_전장회장님보고자료_~0044114_토요(0317)_토요안건(0331)_Sheet1" xfId="1383" xr:uid="{00000000-0005-0000-0000-000084050000}"/>
    <cellStyle name="콤_출장계획서_전장회장님보고자료_~0044114_토요안건(0316)" xfId="1384" xr:uid="{00000000-0005-0000-0000-000085050000}"/>
    <cellStyle name="콤_출장계획서_전장회장님보고자료_~0044114_토요안건(0316)_Sheet1" xfId="1385" xr:uid="{00000000-0005-0000-0000-000086050000}"/>
    <cellStyle name="콤_출장계획서_전장회장님보고자료_~0044114_토요안건(0316)_토요안건(0331)" xfId="1386" xr:uid="{00000000-0005-0000-0000-000087050000}"/>
    <cellStyle name="콤_출장계획서_전장회장님보고자료_~0044114_토요안건(0316)_토요안건(0331)_Sheet1" xfId="1387" xr:uid="{00000000-0005-0000-0000-000088050000}"/>
    <cellStyle name="콤_출장계획서_전장회장님보고자료_Book2" xfId="1388" xr:uid="{00000000-0005-0000-0000-000089050000}"/>
    <cellStyle name="콤_출장계획서_전장회장님보고자료_Book2_Sheet1" xfId="1389" xr:uid="{00000000-0005-0000-0000-00008A050000}"/>
    <cellStyle name="콤_출장계획서_전장회장님보고자료_Book2_토요(0317)" xfId="1390" xr:uid="{00000000-0005-0000-0000-00008B050000}"/>
    <cellStyle name="콤_출장계획서_전장회장님보고자료_Book2_토요(0317)_Sheet1" xfId="1391" xr:uid="{00000000-0005-0000-0000-00008C050000}"/>
    <cellStyle name="콤_출장계획서_전장회장님보고자료_Book2_토요(0317)_토요안건(0331)" xfId="1392" xr:uid="{00000000-0005-0000-0000-00008D050000}"/>
    <cellStyle name="콤_출장계획서_전장회장님보고자료_Book2_토요(0317)_토요안건(0331)_Sheet1" xfId="1393" xr:uid="{00000000-0005-0000-0000-00008E050000}"/>
    <cellStyle name="콤_출장계획서_전장회장님보고자료_Book2_토요안건(0316)" xfId="1394" xr:uid="{00000000-0005-0000-0000-00008F050000}"/>
    <cellStyle name="콤_출장계획서_전장회장님보고자료_Book2_토요안건(0316)_Sheet1" xfId="1395" xr:uid="{00000000-0005-0000-0000-000090050000}"/>
    <cellStyle name="콤_출장계획서_전장회장님보고자료_Book2_토요안건(0316)_토요안건(0331)" xfId="1396" xr:uid="{00000000-0005-0000-0000-000091050000}"/>
    <cellStyle name="콤_출장계획서_전장회장님보고자료_Book2_토요안건(0316)_토요안건(0331)_Sheet1" xfId="1397" xr:uid="{00000000-0005-0000-0000-000092050000}"/>
    <cellStyle name="콤_출장계획서_전장회장님보고자료_Sheet1" xfId="1398" xr:uid="{00000000-0005-0000-0000-000093050000}"/>
    <cellStyle name="콤_출장계획서_전장회장님보고자료_토요(0317)" xfId="1399" xr:uid="{00000000-0005-0000-0000-000094050000}"/>
    <cellStyle name="콤_출장계획서_전장회장님보고자료_토요(0317)_Sheet1" xfId="1400" xr:uid="{00000000-0005-0000-0000-000095050000}"/>
    <cellStyle name="콤_출장계획서_전장회장님보고자료_토요(0317)_토요안건(0331)" xfId="1401" xr:uid="{00000000-0005-0000-0000-000096050000}"/>
    <cellStyle name="콤_출장계획서_전장회장님보고자료_토요(0317)_토요안건(0331)_Sheet1" xfId="1402" xr:uid="{00000000-0005-0000-0000-000097050000}"/>
    <cellStyle name="콤_출장계획서_전장회장님보고자료_토요안건(0316)" xfId="1403" xr:uid="{00000000-0005-0000-0000-000098050000}"/>
    <cellStyle name="콤_출장계획서_전장회장님보고자료_토요안건(0316)_Sheet1" xfId="1404" xr:uid="{00000000-0005-0000-0000-000099050000}"/>
    <cellStyle name="콤_출장계획서_전장회장님보고자료_토요안건(0316)_토요안건(0331)" xfId="1405" xr:uid="{00000000-0005-0000-0000-00009A050000}"/>
    <cellStyle name="콤_출장계획서_전장회장님보고자료_토요안건(0316)_토요안건(0331)_Sheet1" xfId="1406" xr:uid="{00000000-0005-0000-0000-00009B050000}"/>
    <cellStyle name="콤_출장계획서_토요(0317)" xfId="1407" xr:uid="{00000000-0005-0000-0000-00009C050000}"/>
    <cellStyle name="콤_출장계획서_토요(0317)_Sheet1" xfId="1408" xr:uid="{00000000-0005-0000-0000-00009D050000}"/>
    <cellStyle name="콤_출장계획서_토요(0317)_토요안건(0331)" xfId="1409" xr:uid="{00000000-0005-0000-0000-00009E050000}"/>
    <cellStyle name="콤_출장계획서_토요(0317)_토요안건(0331)_Sheet1" xfId="1410" xr:uid="{00000000-0005-0000-0000-00009F050000}"/>
    <cellStyle name="콤_출장계획서_토요안건(0316)" xfId="1411" xr:uid="{00000000-0005-0000-0000-0000A0050000}"/>
    <cellStyle name="콤_출장계획서_토요안건(0316)_Sheet1" xfId="1412" xr:uid="{00000000-0005-0000-0000-0000A1050000}"/>
    <cellStyle name="콤_출장계획서_토요안건(0316)_토요안건(0331)" xfId="1413" xr:uid="{00000000-0005-0000-0000-0000A2050000}"/>
    <cellStyle name="콤_출장계획서_토요안건(0316)_토요안건(0331)_Sheet1" xfId="1414" xr:uid="{00000000-0005-0000-0000-0000A3050000}"/>
    <cellStyle name="콤_현안과제QIR4(rio)" xfId="1415" xr:uid="{00000000-0005-0000-0000-0000A4050000}"/>
    <cellStyle name="콤_현안과제QIR4(rio)_~0044114" xfId="1416" xr:uid="{00000000-0005-0000-0000-0000A5050000}"/>
    <cellStyle name="콤_현안과제QIR4(rio)_~0044114_Sheet1" xfId="1417" xr:uid="{00000000-0005-0000-0000-0000A6050000}"/>
    <cellStyle name="콤_현안과제QIR4(rio)_~0044114_토요(0317)" xfId="1418" xr:uid="{00000000-0005-0000-0000-0000A7050000}"/>
    <cellStyle name="콤_현안과제QIR4(rio)_~0044114_토요(0317)_Sheet1" xfId="1419" xr:uid="{00000000-0005-0000-0000-0000A8050000}"/>
    <cellStyle name="콤_현안과제QIR4(rio)_~0044114_토요(0317)_토요안건(0331)" xfId="1420" xr:uid="{00000000-0005-0000-0000-0000A9050000}"/>
    <cellStyle name="콤_현안과제QIR4(rio)_~0044114_토요(0317)_토요안건(0331)_Sheet1" xfId="1421" xr:uid="{00000000-0005-0000-0000-0000AA050000}"/>
    <cellStyle name="콤_현안과제QIR4(rio)_~0044114_토요안건(0316)" xfId="1422" xr:uid="{00000000-0005-0000-0000-0000AB050000}"/>
    <cellStyle name="콤_현안과제QIR4(rio)_~0044114_토요안건(0316)_Sheet1" xfId="1423" xr:uid="{00000000-0005-0000-0000-0000AC050000}"/>
    <cellStyle name="콤_현안과제QIR4(rio)_~0044114_토요안건(0316)_토요안건(0331)" xfId="1424" xr:uid="{00000000-0005-0000-0000-0000AD050000}"/>
    <cellStyle name="콤_현안과제QIR4(rio)_~0044114_토요안건(0316)_토요안건(0331)_Sheet1" xfId="1425" xr:uid="{00000000-0005-0000-0000-0000AE050000}"/>
    <cellStyle name="콤_현안과제QIR4(rio)_Book2" xfId="1426" xr:uid="{00000000-0005-0000-0000-0000AF050000}"/>
    <cellStyle name="콤_현안과제QIR4(rio)_Book2_Sheet1" xfId="1427" xr:uid="{00000000-0005-0000-0000-0000B0050000}"/>
    <cellStyle name="콤_현안과제QIR4(rio)_Book2_토요(0317)" xfId="1428" xr:uid="{00000000-0005-0000-0000-0000B1050000}"/>
    <cellStyle name="콤_현안과제QIR4(rio)_Book2_토요(0317)_Sheet1" xfId="1429" xr:uid="{00000000-0005-0000-0000-0000B2050000}"/>
    <cellStyle name="콤_현안과제QIR4(rio)_Book2_토요(0317)_토요안건(0331)" xfId="1430" xr:uid="{00000000-0005-0000-0000-0000B3050000}"/>
    <cellStyle name="콤_현안과제QIR4(rio)_Book2_토요(0317)_토요안건(0331)_Sheet1" xfId="1431" xr:uid="{00000000-0005-0000-0000-0000B4050000}"/>
    <cellStyle name="콤_현안과제QIR4(rio)_Book2_토요안건(0316)" xfId="1432" xr:uid="{00000000-0005-0000-0000-0000B5050000}"/>
    <cellStyle name="콤_현안과제QIR4(rio)_Book2_토요안건(0316)_Sheet1" xfId="1433" xr:uid="{00000000-0005-0000-0000-0000B6050000}"/>
    <cellStyle name="콤_현안과제QIR4(rio)_Book2_토요안건(0316)_토요안건(0331)" xfId="1434" xr:uid="{00000000-0005-0000-0000-0000B7050000}"/>
    <cellStyle name="콤_현안과제QIR4(rio)_Book2_토요안건(0316)_토요안건(0331)_Sheet1" xfId="1435" xr:uid="{00000000-0005-0000-0000-0000B8050000}"/>
    <cellStyle name="콤_현안과제QIR4(rio)_Sheet1" xfId="1436" xr:uid="{00000000-0005-0000-0000-0000B9050000}"/>
    <cellStyle name="콤_현안과제QIR4(rio)_신전장기능성품질문제점보고0315" xfId="1437" xr:uid="{00000000-0005-0000-0000-0000BA050000}"/>
    <cellStyle name="콤_현안과제QIR4(rio)_신전장기능성품질문제점보고0315_~0044114" xfId="1438" xr:uid="{00000000-0005-0000-0000-0000BB050000}"/>
    <cellStyle name="콤_현안과제QIR4(rio)_신전장기능성품질문제점보고0315_~0044114_Sheet1" xfId="1439" xr:uid="{00000000-0005-0000-0000-0000BC050000}"/>
    <cellStyle name="콤_현안과제QIR4(rio)_신전장기능성품질문제점보고0315_~0044114_토요(0317)" xfId="1440" xr:uid="{00000000-0005-0000-0000-0000BD050000}"/>
    <cellStyle name="콤_현안과제QIR4(rio)_신전장기능성품질문제점보고0315_~0044114_토요(0317)_Sheet1" xfId="1441" xr:uid="{00000000-0005-0000-0000-0000BE050000}"/>
    <cellStyle name="콤_현안과제QIR4(rio)_신전장기능성품질문제점보고0315_~0044114_토요(0317)_토요안건(0331)" xfId="1442" xr:uid="{00000000-0005-0000-0000-0000BF050000}"/>
    <cellStyle name="콤_현안과제QIR4(rio)_신전장기능성품질문제점보고0315_~0044114_토요(0317)_토요안건(0331)_Sheet1" xfId="1443" xr:uid="{00000000-0005-0000-0000-0000C0050000}"/>
    <cellStyle name="콤_현안과제QIR4(rio)_신전장기능성품질문제점보고0315_~0044114_토요안건(0316)" xfId="1444" xr:uid="{00000000-0005-0000-0000-0000C1050000}"/>
    <cellStyle name="콤_현안과제QIR4(rio)_신전장기능성품질문제점보고0315_~0044114_토요안건(0316)_Sheet1" xfId="1445" xr:uid="{00000000-0005-0000-0000-0000C2050000}"/>
    <cellStyle name="콤_현안과제QIR4(rio)_신전장기능성품질문제점보고0315_~0044114_토요안건(0316)_토요안건(0331)" xfId="1446" xr:uid="{00000000-0005-0000-0000-0000C3050000}"/>
    <cellStyle name="콤_현안과제QIR4(rio)_신전장기능성품질문제점보고0315_~0044114_토요안건(0316)_토요안건(0331)_Sheet1" xfId="1447" xr:uid="{00000000-0005-0000-0000-0000C4050000}"/>
    <cellStyle name="콤_현안과제QIR4(rio)_신전장기능성품질문제점보고0315_Book2" xfId="1448" xr:uid="{00000000-0005-0000-0000-0000C5050000}"/>
    <cellStyle name="콤_현안과제QIR4(rio)_신전장기능성품질문제점보고0315_Book2_Sheet1" xfId="1449" xr:uid="{00000000-0005-0000-0000-0000C6050000}"/>
    <cellStyle name="콤_현안과제QIR4(rio)_신전장기능성품질문제점보고0315_Book2_토요(0317)" xfId="1450" xr:uid="{00000000-0005-0000-0000-0000C7050000}"/>
    <cellStyle name="콤_현안과제QIR4(rio)_신전장기능성품질문제점보고0315_Book2_토요(0317)_Sheet1" xfId="1451" xr:uid="{00000000-0005-0000-0000-0000C8050000}"/>
    <cellStyle name="콤_현안과제QIR4(rio)_신전장기능성품질문제점보고0315_Book2_토요(0317)_토요안건(0331)" xfId="1452" xr:uid="{00000000-0005-0000-0000-0000C9050000}"/>
    <cellStyle name="콤_현안과제QIR4(rio)_신전장기능성품질문제점보고0315_Book2_토요(0317)_토요안건(0331)_Sheet1" xfId="1453" xr:uid="{00000000-0005-0000-0000-0000CA050000}"/>
    <cellStyle name="콤_현안과제QIR4(rio)_신전장기능성품질문제점보고0315_Book2_토요안건(0316)" xfId="1454" xr:uid="{00000000-0005-0000-0000-0000CB050000}"/>
    <cellStyle name="콤_현안과제QIR4(rio)_신전장기능성품질문제점보고0315_Book2_토요안건(0316)_Sheet1" xfId="1455" xr:uid="{00000000-0005-0000-0000-0000CC050000}"/>
    <cellStyle name="콤_현안과제QIR4(rio)_신전장기능성품질문제점보고0315_Book2_토요안건(0316)_토요안건(0331)" xfId="1456" xr:uid="{00000000-0005-0000-0000-0000CD050000}"/>
    <cellStyle name="콤_현안과제QIR4(rio)_신전장기능성품질문제점보고0315_Book2_토요안건(0316)_토요안건(0331)_Sheet1" xfId="1457" xr:uid="{00000000-0005-0000-0000-0000CE050000}"/>
    <cellStyle name="콤_현안과제QIR4(rio)_신전장기능성품질문제점보고0315_Sheet1" xfId="1458" xr:uid="{00000000-0005-0000-0000-0000CF050000}"/>
    <cellStyle name="콤_현안과제QIR4(rio)_신전장기능성품질문제점보고0315_토요(0317)" xfId="1459" xr:uid="{00000000-0005-0000-0000-0000D0050000}"/>
    <cellStyle name="콤_현안과제QIR4(rio)_신전장기능성품질문제점보고0315_토요(0317)_Sheet1" xfId="1460" xr:uid="{00000000-0005-0000-0000-0000D1050000}"/>
    <cellStyle name="콤_현안과제QIR4(rio)_신전장기능성품질문제점보고0315_토요(0317)_토요안건(0331)" xfId="1461" xr:uid="{00000000-0005-0000-0000-0000D2050000}"/>
    <cellStyle name="콤_현안과제QIR4(rio)_신전장기능성품질문제점보고0315_토요(0317)_토요안건(0331)_Sheet1" xfId="1462" xr:uid="{00000000-0005-0000-0000-0000D3050000}"/>
    <cellStyle name="콤_현안과제QIR4(rio)_신전장기능성품질문제점보고0315_토요안건(0316)" xfId="1463" xr:uid="{00000000-0005-0000-0000-0000D4050000}"/>
    <cellStyle name="콤_현안과제QIR4(rio)_신전장기능성품질문제점보고0315_토요안건(0316)_Sheet1" xfId="1464" xr:uid="{00000000-0005-0000-0000-0000D5050000}"/>
    <cellStyle name="콤_현안과제QIR4(rio)_신전장기능성품질문제점보고0315_토요안건(0316)_토요안건(0331)" xfId="1465" xr:uid="{00000000-0005-0000-0000-0000D6050000}"/>
    <cellStyle name="콤_현안과제QIR4(rio)_신전장기능성품질문제점보고0315_토요안건(0316)_토요안건(0331)_Sheet1" xfId="1466" xr:uid="{00000000-0005-0000-0000-0000D7050000}"/>
    <cellStyle name="콤_현안과제QIR4(rio)_전장기능성품질문제점진척보고" xfId="1467" xr:uid="{00000000-0005-0000-0000-0000D8050000}"/>
    <cellStyle name="콤_현안과제QIR4(rio)_전장기능성품질문제점진척보고_~0044114" xfId="1468" xr:uid="{00000000-0005-0000-0000-0000D9050000}"/>
    <cellStyle name="콤_현안과제QIR4(rio)_전장기능성품질문제점진척보고_~0044114_Sheet1" xfId="1469" xr:uid="{00000000-0005-0000-0000-0000DA050000}"/>
    <cellStyle name="콤_현안과제QIR4(rio)_전장기능성품질문제점진척보고_~0044114_토요(0317)" xfId="1470" xr:uid="{00000000-0005-0000-0000-0000DB050000}"/>
    <cellStyle name="콤_현안과제QIR4(rio)_전장기능성품질문제점진척보고_~0044114_토요(0317)_Sheet1" xfId="1471" xr:uid="{00000000-0005-0000-0000-0000DC050000}"/>
    <cellStyle name="콤_현안과제QIR4(rio)_전장기능성품질문제점진척보고_~0044114_토요(0317)_토요안건(0331)" xfId="1472" xr:uid="{00000000-0005-0000-0000-0000DD050000}"/>
    <cellStyle name="콤_현안과제QIR4(rio)_전장기능성품질문제점진척보고_~0044114_토요(0317)_토요안건(0331)_Sheet1" xfId="1473" xr:uid="{00000000-0005-0000-0000-0000DE050000}"/>
    <cellStyle name="콤_현안과제QIR4(rio)_전장기능성품질문제점진척보고_~0044114_토요안건(0316)" xfId="1474" xr:uid="{00000000-0005-0000-0000-0000DF050000}"/>
    <cellStyle name="콤_현안과제QIR4(rio)_전장기능성품질문제점진척보고_~0044114_토요안건(0316)_Sheet1" xfId="1475" xr:uid="{00000000-0005-0000-0000-0000E0050000}"/>
    <cellStyle name="콤_현안과제QIR4(rio)_전장기능성품질문제점진척보고_~0044114_토요안건(0316)_토요안건(0331)" xfId="1476" xr:uid="{00000000-0005-0000-0000-0000E1050000}"/>
    <cellStyle name="콤_현안과제QIR4(rio)_전장기능성품질문제점진척보고_~0044114_토요안건(0316)_토요안건(0331)_Sheet1" xfId="1477" xr:uid="{00000000-0005-0000-0000-0000E2050000}"/>
    <cellStyle name="콤_현안과제QIR4(rio)_전장기능성품질문제점진척보고_Book2" xfId="1478" xr:uid="{00000000-0005-0000-0000-0000E3050000}"/>
    <cellStyle name="콤_현안과제QIR4(rio)_전장기능성품질문제점진척보고_Book2_Sheet1" xfId="1479" xr:uid="{00000000-0005-0000-0000-0000E4050000}"/>
    <cellStyle name="콤_현안과제QIR4(rio)_전장기능성품질문제점진척보고_Book2_토요(0317)" xfId="1480" xr:uid="{00000000-0005-0000-0000-0000E5050000}"/>
    <cellStyle name="콤_현안과제QIR4(rio)_전장기능성품질문제점진척보고_Book2_토요(0317)_Sheet1" xfId="1481" xr:uid="{00000000-0005-0000-0000-0000E6050000}"/>
    <cellStyle name="콤_현안과제QIR4(rio)_전장기능성품질문제점진척보고_Book2_토요(0317)_토요안건(0331)" xfId="1482" xr:uid="{00000000-0005-0000-0000-0000E7050000}"/>
    <cellStyle name="콤_현안과제QIR4(rio)_전장기능성품질문제점진척보고_Book2_토요(0317)_토요안건(0331)_Sheet1" xfId="1483" xr:uid="{00000000-0005-0000-0000-0000E8050000}"/>
    <cellStyle name="콤_현안과제QIR4(rio)_전장기능성품질문제점진척보고_Book2_토요안건(0316)" xfId="1484" xr:uid="{00000000-0005-0000-0000-0000E9050000}"/>
    <cellStyle name="콤_현안과제QIR4(rio)_전장기능성품질문제점진척보고_Book2_토요안건(0316)_Sheet1" xfId="1485" xr:uid="{00000000-0005-0000-0000-0000EA050000}"/>
    <cellStyle name="콤_현안과제QIR4(rio)_전장기능성품질문제점진척보고_Book2_토요안건(0316)_토요안건(0331)" xfId="1486" xr:uid="{00000000-0005-0000-0000-0000EB050000}"/>
    <cellStyle name="콤_현안과제QIR4(rio)_전장기능성품질문제점진척보고_Book2_토요안건(0316)_토요안건(0331)_Sheet1" xfId="1487" xr:uid="{00000000-0005-0000-0000-0000EC050000}"/>
    <cellStyle name="콤_현안과제QIR4(rio)_전장기능성품질문제점진척보고_Sheet1" xfId="1488" xr:uid="{00000000-0005-0000-0000-0000ED050000}"/>
    <cellStyle name="콤_현안과제QIR4(rio)_전장기능성품질문제점진척보고_토요(0317)" xfId="1489" xr:uid="{00000000-0005-0000-0000-0000EE050000}"/>
    <cellStyle name="콤_현안과제QIR4(rio)_전장기능성품질문제점진척보고_토요(0317)_Sheet1" xfId="1490" xr:uid="{00000000-0005-0000-0000-0000EF050000}"/>
    <cellStyle name="콤_현안과제QIR4(rio)_전장기능성품질문제점진척보고_토요(0317)_토요안건(0331)" xfId="1491" xr:uid="{00000000-0005-0000-0000-0000F0050000}"/>
    <cellStyle name="콤_현안과제QIR4(rio)_전장기능성품질문제점진척보고_토요(0317)_토요안건(0331)_Sheet1" xfId="1492" xr:uid="{00000000-0005-0000-0000-0000F1050000}"/>
    <cellStyle name="콤_현안과제QIR4(rio)_전장기능성품질문제점진척보고_토요안건(0316)" xfId="1493" xr:uid="{00000000-0005-0000-0000-0000F2050000}"/>
    <cellStyle name="콤_현안과제QIR4(rio)_전장기능성품질문제점진척보고_토요안건(0316)_Sheet1" xfId="1494" xr:uid="{00000000-0005-0000-0000-0000F3050000}"/>
    <cellStyle name="콤_현안과제QIR4(rio)_전장기능성품질문제점진척보고_토요안건(0316)_토요안건(0331)" xfId="1495" xr:uid="{00000000-0005-0000-0000-0000F4050000}"/>
    <cellStyle name="콤_현안과제QIR4(rio)_전장기능성품질문제점진척보고_토요안건(0316)_토요안건(0331)_Sheet1" xfId="1496" xr:uid="{00000000-0005-0000-0000-0000F5050000}"/>
    <cellStyle name="콤_현안과제QIR4(rio)_전장회장님보고자료" xfId="1497" xr:uid="{00000000-0005-0000-0000-0000F6050000}"/>
    <cellStyle name="콤_현안과제QIR4(rio)_전장회장님보고자료_~0044114" xfId="1498" xr:uid="{00000000-0005-0000-0000-0000F7050000}"/>
    <cellStyle name="콤_현안과제QIR4(rio)_전장회장님보고자료_~0044114_Sheet1" xfId="1499" xr:uid="{00000000-0005-0000-0000-0000F8050000}"/>
    <cellStyle name="콤_현안과제QIR4(rio)_전장회장님보고자료_~0044114_토요(0317)" xfId="1500" xr:uid="{00000000-0005-0000-0000-0000F9050000}"/>
    <cellStyle name="콤_현안과제QIR4(rio)_전장회장님보고자료_~0044114_토요(0317)_Sheet1" xfId="1501" xr:uid="{00000000-0005-0000-0000-0000FA050000}"/>
    <cellStyle name="콤_현안과제QIR4(rio)_전장회장님보고자료_~0044114_토요(0317)_토요안건(0331)" xfId="1502" xr:uid="{00000000-0005-0000-0000-0000FB050000}"/>
    <cellStyle name="콤_현안과제QIR4(rio)_전장회장님보고자료_~0044114_토요(0317)_토요안건(0331)_Sheet1" xfId="1503" xr:uid="{00000000-0005-0000-0000-0000FC050000}"/>
    <cellStyle name="콤_현안과제QIR4(rio)_전장회장님보고자료_~0044114_토요안건(0316)" xfId="1504" xr:uid="{00000000-0005-0000-0000-0000FD050000}"/>
    <cellStyle name="콤_현안과제QIR4(rio)_전장회장님보고자료_~0044114_토요안건(0316)_Sheet1" xfId="1505" xr:uid="{00000000-0005-0000-0000-0000FE050000}"/>
    <cellStyle name="콤_현안과제QIR4(rio)_전장회장님보고자료_~0044114_토요안건(0316)_토요안건(0331)" xfId="1506" xr:uid="{00000000-0005-0000-0000-0000FF050000}"/>
    <cellStyle name="콤_현안과제QIR4(rio)_전장회장님보고자료_~0044114_토요안건(0316)_토요안건(0331)_Sheet1" xfId="1507" xr:uid="{00000000-0005-0000-0000-000000060000}"/>
    <cellStyle name="콤_현안과제QIR4(rio)_전장회장님보고자료_Book2" xfId="1508" xr:uid="{00000000-0005-0000-0000-000001060000}"/>
    <cellStyle name="콤_현안과제QIR4(rio)_전장회장님보고자료_Book2_Sheet1" xfId="1509" xr:uid="{00000000-0005-0000-0000-000002060000}"/>
    <cellStyle name="콤_현안과제QIR4(rio)_전장회장님보고자료_Book2_토요(0317)" xfId="1510" xr:uid="{00000000-0005-0000-0000-000003060000}"/>
    <cellStyle name="콤_현안과제QIR4(rio)_전장회장님보고자료_Book2_토요(0317)_Sheet1" xfId="1511" xr:uid="{00000000-0005-0000-0000-000004060000}"/>
    <cellStyle name="콤_현안과제QIR4(rio)_전장회장님보고자료_Book2_토요(0317)_토요안건(0331)" xfId="1512" xr:uid="{00000000-0005-0000-0000-000005060000}"/>
    <cellStyle name="콤_현안과제QIR4(rio)_전장회장님보고자료_Book2_토요(0317)_토요안건(0331)_Sheet1" xfId="1513" xr:uid="{00000000-0005-0000-0000-000006060000}"/>
    <cellStyle name="콤_현안과제QIR4(rio)_전장회장님보고자료_Book2_토요안건(0316)" xfId="1514" xr:uid="{00000000-0005-0000-0000-000007060000}"/>
    <cellStyle name="콤_현안과제QIR4(rio)_전장회장님보고자료_Book2_토요안건(0316)_Sheet1" xfId="1515" xr:uid="{00000000-0005-0000-0000-000008060000}"/>
    <cellStyle name="콤_현안과제QIR4(rio)_전장회장님보고자료_Book2_토요안건(0316)_토요안건(0331)" xfId="1516" xr:uid="{00000000-0005-0000-0000-000009060000}"/>
    <cellStyle name="콤_현안과제QIR4(rio)_전장회장님보고자료_Book2_토요안건(0316)_토요안건(0331)_Sheet1" xfId="1517" xr:uid="{00000000-0005-0000-0000-00000A060000}"/>
    <cellStyle name="콤_현안과제QIR4(rio)_전장회장님보고자료_Sheet1" xfId="1518" xr:uid="{00000000-0005-0000-0000-00000B060000}"/>
    <cellStyle name="콤_현안과제QIR4(rio)_전장회장님보고자료_토요(0317)" xfId="1519" xr:uid="{00000000-0005-0000-0000-00000C060000}"/>
    <cellStyle name="콤_현안과제QIR4(rio)_전장회장님보고자료_토요(0317)_Sheet1" xfId="1520" xr:uid="{00000000-0005-0000-0000-00000D060000}"/>
    <cellStyle name="콤_현안과제QIR4(rio)_전장회장님보고자료_토요(0317)_토요안건(0331)" xfId="1521" xr:uid="{00000000-0005-0000-0000-00000E060000}"/>
    <cellStyle name="콤_현안과제QIR4(rio)_전장회장님보고자료_토요(0317)_토요안건(0331)_Sheet1" xfId="1522" xr:uid="{00000000-0005-0000-0000-00000F060000}"/>
    <cellStyle name="콤_현안과제QIR4(rio)_전장회장님보고자료_토요안건(0316)" xfId="1523" xr:uid="{00000000-0005-0000-0000-000010060000}"/>
    <cellStyle name="콤_현안과제QIR4(rio)_전장회장님보고자료_토요안건(0316)_Sheet1" xfId="1524" xr:uid="{00000000-0005-0000-0000-000011060000}"/>
    <cellStyle name="콤_현안과제QIR4(rio)_전장회장님보고자료_토요안건(0316)_토요안건(0331)" xfId="1525" xr:uid="{00000000-0005-0000-0000-000012060000}"/>
    <cellStyle name="콤_현안과제QIR4(rio)_전장회장님보고자료_토요안건(0316)_토요안건(0331)_Sheet1" xfId="1526" xr:uid="{00000000-0005-0000-0000-000013060000}"/>
    <cellStyle name="콤_현안과제QIR4(rio)_토요(0317)" xfId="1527" xr:uid="{00000000-0005-0000-0000-000014060000}"/>
    <cellStyle name="콤_현안과제QIR4(rio)_토요(0317)_Sheet1" xfId="1528" xr:uid="{00000000-0005-0000-0000-000015060000}"/>
    <cellStyle name="콤_현안과제QIR4(rio)_토요(0317)_토요안건(0331)" xfId="1529" xr:uid="{00000000-0005-0000-0000-000016060000}"/>
    <cellStyle name="콤_현안과제QIR4(rio)_토요(0317)_토요안건(0331)_Sheet1" xfId="1530" xr:uid="{00000000-0005-0000-0000-000017060000}"/>
    <cellStyle name="콤_현안과제QIR4(rio)_토요안건(0316)" xfId="1531" xr:uid="{00000000-0005-0000-0000-000018060000}"/>
    <cellStyle name="콤_현안과제QIR4(rio)_토요안건(0316)_Sheet1" xfId="1532" xr:uid="{00000000-0005-0000-0000-000019060000}"/>
    <cellStyle name="콤_현안과제QIR4(rio)_토요안건(0316)_토요안건(0331)" xfId="1533" xr:uid="{00000000-0005-0000-0000-00001A060000}"/>
    <cellStyle name="콤_현안과제QIR4(rio)_토요안건(0316)_토요안건(0331)_Sheet1" xfId="1534" xr:uid="{00000000-0005-0000-0000-00001B060000}"/>
    <cellStyle name="콤마 [" xfId="1535" xr:uid="{00000000-0005-0000-0000-00001C060000}"/>
    <cellStyle name="콤마 [ - 유형1" xfId="1536" xr:uid="{00000000-0005-0000-0000-00001D060000}"/>
    <cellStyle name="콤마 [ - 유형2" xfId="1537" xr:uid="{00000000-0005-0000-0000-00001E060000}"/>
    <cellStyle name="콤마 [ - 유형3" xfId="1538" xr:uid="{00000000-0005-0000-0000-00001F060000}"/>
    <cellStyle name="콤마 [ - 유형4" xfId="1539" xr:uid="{00000000-0005-0000-0000-000020060000}"/>
    <cellStyle name="콤마 [ - 유형5" xfId="1540" xr:uid="{00000000-0005-0000-0000-000021060000}"/>
    <cellStyle name="콤마 [ - 유형6" xfId="1541" xr:uid="{00000000-0005-0000-0000-000022060000}"/>
    <cellStyle name="콤마 [ - 유형7" xfId="1542" xr:uid="{00000000-0005-0000-0000-000023060000}"/>
    <cellStyle name="콤마 [ - 유형8" xfId="1543" xr:uid="{00000000-0005-0000-0000-000024060000}"/>
    <cellStyle name="콤마 [0]_" xfId="1544" xr:uid="{00000000-0005-0000-0000-000025060000}"/>
    <cellStyle name="콤마_" xfId="1545" xr:uid="{00000000-0005-0000-0000-000026060000}"/>
    <cellStyle name="통" xfId="1546" xr:uid="{00000000-0005-0000-0000-000027060000}"/>
    <cellStyle name="통_출장계획서" xfId="1547" xr:uid="{00000000-0005-0000-0000-000028060000}"/>
    <cellStyle name="통_출장계획서_~0044114" xfId="1548" xr:uid="{00000000-0005-0000-0000-000029060000}"/>
    <cellStyle name="통_출장계획서_~0044114_Sheet1" xfId="1549" xr:uid="{00000000-0005-0000-0000-00002A060000}"/>
    <cellStyle name="통_출장계획서_~0044114_토요(0317)" xfId="1550" xr:uid="{00000000-0005-0000-0000-00002B060000}"/>
    <cellStyle name="통_출장계획서_~0044114_토요(0317)_Sheet1" xfId="1551" xr:uid="{00000000-0005-0000-0000-00002C060000}"/>
    <cellStyle name="통_출장계획서_~0044114_토요(0317)_토요안건(0331)" xfId="1552" xr:uid="{00000000-0005-0000-0000-00002D060000}"/>
    <cellStyle name="통_출장계획서_~0044114_토요(0317)_토요안건(0331)_Sheet1" xfId="1553" xr:uid="{00000000-0005-0000-0000-00002E060000}"/>
    <cellStyle name="통_출장계획서_~0044114_토요안건(0316)" xfId="1554" xr:uid="{00000000-0005-0000-0000-00002F060000}"/>
    <cellStyle name="통_출장계획서_~0044114_토요안건(0316)_Sheet1" xfId="1555" xr:uid="{00000000-0005-0000-0000-000030060000}"/>
    <cellStyle name="통_출장계획서_~0044114_토요안건(0316)_토요안건(0331)" xfId="1556" xr:uid="{00000000-0005-0000-0000-000031060000}"/>
    <cellStyle name="통_출장계획서_~0044114_토요안건(0316)_토요안건(0331)_Sheet1" xfId="1557" xr:uid="{00000000-0005-0000-0000-000032060000}"/>
    <cellStyle name="통_출장계획서_Book2" xfId="1558" xr:uid="{00000000-0005-0000-0000-000033060000}"/>
    <cellStyle name="통_출장계획서_Book2_Sheet1" xfId="1559" xr:uid="{00000000-0005-0000-0000-000034060000}"/>
    <cellStyle name="통_출장계획서_Book2_토요(0317)" xfId="1560" xr:uid="{00000000-0005-0000-0000-000035060000}"/>
    <cellStyle name="통_출장계획서_Book2_토요(0317)_Sheet1" xfId="1561" xr:uid="{00000000-0005-0000-0000-000036060000}"/>
    <cellStyle name="통_출장계획서_Book2_토요(0317)_토요안건(0331)" xfId="1562" xr:uid="{00000000-0005-0000-0000-000037060000}"/>
    <cellStyle name="통_출장계획서_Book2_토요(0317)_토요안건(0331)_Sheet1" xfId="1563" xr:uid="{00000000-0005-0000-0000-000038060000}"/>
    <cellStyle name="통_출장계획서_Book2_토요안건(0316)" xfId="1564" xr:uid="{00000000-0005-0000-0000-000039060000}"/>
    <cellStyle name="통_출장계획서_Book2_토요안건(0316)_Sheet1" xfId="1565" xr:uid="{00000000-0005-0000-0000-00003A060000}"/>
    <cellStyle name="통_출장계획서_Book2_토요안건(0316)_토요안건(0331)" xfId="1566" xr:uid="{00000000-0005-0000-0000-00003B060000}"/>
    <cellStyle name="통_출장계획서_Book2_토요안건(0316)_토요안건(0331)_Sheet1" xfId="1567" xr:uid="{00000000-0005-0000-0000-00003C060000}"/>
    <cellStyle name="통_출장계획서_Sheet1" xfId="1568" xr:uid="{00000000-0005-0000-0000-00003D060000}"/>
    <cellStyle name="통_출장계획서_신전장기능성품질문제점보고0315" xfId="1569" xr:uid="{00000000-0005-0000-0000-00003E060000}"/>
    <cellStyle name="통_출장계획서_신전장기능성품질문제점보고0315_~0044114" xfId="1570" xr:uid="{00000000-0005-0000-0000-00003F060000}"/>
    <cellStyle name="통_출장계획서_신전장기능성품질문제점보고0315_~0044114_Sheet1" xfId="1571" xr:uid="{00000000-0005-0000-0000-000040060000}"/>
    <cellStyle name="통_출장계획서_신전장기능성품질문제점보고0315_~0044114_토요(0317)" xfId="1572" xr:uid="{00000000-0005-0000-0000-000041060000}"/>
    <cellStyle name="통_출장계획서_신전장기능성품질문제점보고0315_~0044114_토요(0317)_Sheet1" xfId="1573" xr:uid="{00000000-0005-0000-0000-000042060000}"/>
    <cellStyle name="통_출장계획서_신전장기능성품질문제점보고0315_~0044114_토요(0317)_토요안건(0331)" xfId="1574" xr:uid="{00000000-0005-0000-0000-000043060000}"/>
    <cellStyle name="통_출장계획서_신전장기능성품질문제점보고0315_~0044114_토요(0317)_토요안건(0331)_Sheet1" xfId="1575" xr:uid="{00000000-0005-0000-0000-000044060000}"/>
    <cellStyle name="통_출장계획서_신전장기능성품질문제점보고0315_~0044114_토요안건(0316)" xfId="1576" xr:uid="{00000000-0005-0000-0000-000045060000}"/>
    <cellStyle name="통_출장계획서_신전장기능성품질문제점보고0315_~0044114_토요안건(0316)_Sheet1" xfId="1577" xr:uid="{00000000-0005-0000-0000-000046060000}"/>
    <cellStyle name="통_출장계획서_신전장기능성품질문제점보고0315_~0044114_토요안건(0316)_토요안건(0331)" xfId="1578" xr:uid="{00000000-0005-0000-0000-000047060000}"/>
    <cellStyle name="통_출장계획서_신전장기능성품질문제점보고0315_~0044114_토요안건(0316)_토요안건(0331)_Sheet1" xfId="1579" xr:uid="{00000000-0005-0000-0000-000048060000}"/>
    <cellStyle name="통_출장계획서_신전장기능성품질문제점보고0315_Book2" xfId="1580" xr:uid="{00000000-0005-0000-0000-000049060000}"/>
    <cellStyle name="통_출장계획서_신전장기능성품질문제점보고0315_Book2_Sheet1" xfId="1581" xr:uid="{00000000-0005-0000-0000-00004A060000}"/>
    <cellStyle name="통_출장계획서_신전장기능성품질문제점보고0315_Book2_토요(0317)" xfId="1582" xr:uid="{00000000-0005-0000-0000-00004B060000}"/>
    <cellStyle name="통_출장계획서_신전장기능성품질문제점보고0315_Book2_토요(0317)_Sheet1" xfId="1583" xr:uid="{00000000-0005-0000-0000-00004C060000}"/>
    <cellStyle name="통_출장계획서_신전장기능성품질문제점보고0315_Book2_토요(0317)_토요안건(0331)" xfId="1584" xr:uid="{00000000-0005-0000-0000-00004D060000}"/>
    <cellStyle name="통_출장계획서_신전장기능성품질문제점보고0315_Book2_토요(0317)_토요안건(0331)_Sheet1" xfId="1585" xr:uid="{00000000-0005-0000-0000-00004E060000}"/>
    <cellStyle name="통_출장계획서_신전장기능성품질문제점보고0315_Book2_토요안건(0316)" xfId="1586" xr:uid="{00000000-0005-0000-0000-00004F060000}"/>
    <cellStyle name="통_출장계획서_신전장기능성품질문제점보고0315_Book2_토요안건(0316)_Sheet1" xfId="1587" xr:uid="{00000000-0005-0000-0000-000050060000}"/>
    <cellStyle name="통_출장계획서_신전장기능성품질문제점보고0315_Book2_토요안건(0316)_토요안건(0331)" xfId="1588" xr:uid="{00000000-0005-0000-0000-000051060000}"/>
    <cellStyle name="통_출장계획서_신전장기능성품질문제점보고0315_Book2_토요안건(0316)_토요안건(0331)_Sheet1" xfId="1589" xr:uid="{00000000-0005-0000-0000-000052060000}"/>
    <cellStyle name="통_출장계획서_신전장기능성품질문제점보고0315_Sheet1" xfId="1590" xr:uid="{00000000-0005-0000-0000-000053060000}"/>
    <cellStyle name="통_출장계획서_신전장기능성품질문제점보고0315_토요(0317)" xfId="1591" xr:uid="{00000000-0005-0000-0000-000054060000}"/>
    <cellStyle name="통_출장계획서_신전장기능성품질문제점보고0315_토요(0317)_Sheet1" xfId="1592" xr:uid="{00000000-0005-0000-0000-000055060000}"/>
    <cellStyle name="통_출장계획서_신전장기능성품질문제점보고0315_토요(0317)_토요안건(0331)" xfId="1593" xr:uid="{00000000-0005-0000-0000-000056060000}"/>
    <cellStyle name="통_출장계획서_신전장기능성품질문제점보고0315_토요(0317)_토요안건(0331)_Sheet1" xfId="1594" xr:uid="{00000000-0005-0000-0000-000057060000}"/>
    <cellStyle name="통_출장계획서_신전장기능성품질문제점보고0315_토요안건(0316)" xfId="1595" xr:uid="{00000000-0005-0000-0000-000058060000}"/>
    <cellStyle name="통_출장계획서_신전장기능성품질문제점보고0315_토요안건(0316)_Sheet1" xfId="1596" xr:uid="{00000000-0005-0000-0000-000059060000}"/>
    <cellStyle name="통_출장계획서_신전장기능성품질문제점보고0315_토요안건(0316)_토요안건(0331)" xfId="1597" xr:uid="{00000000-0005-0000-0000-00005A060000}"/>
    <cellStyle name="통_출장계획서_신전장기능성품질문제점보고0315_토요안건(0316)_토요안건(0331)_Sheet1" xfId="1598" xr:uid="{00000000-0005-0000-0000-00005B060000}"/>
    <cellStyle name="통_출장계획서_전장기능성품질문제점진척보고" xfId="1599" xr:uid="{00000000-0005-0000-0000-00005C060000}"/>
    <cellStyle name="통_출장계획서_전장기능성품질문제점진척보고_~0044114" xfId="1600" xr:uid="{00000000-0005-0000-0000-00005D060000}"/>
    <cellStyle name="통_출장계획서_전장기능성품질문제점진척보고_~0044114_Sheet1" xfId="1601" xr:uid="{00000000-0005-0000-0000-00005E060000}"/>
    <cellStyle name="통_출장계획서_전장기능성품질문제점진척보고_~0044114_토요(0317)" xfId="1602" xr:uid="{00000000-0005-0000-0000-00005F060000}"/>
    <cellStyle name="통_출장계획서_전장기능성품질문제점진척보고_~0044114_토요(0317)_Sheet1" xfId="1603" xr:uid="{00000000-0005-0000-0000-000060060000}"/>
    <cellStyle name="통_출장계획서_전장기능성품질문제점진척보고_~0044114_토요(0317)_토요안건(0331)" xfId="1604" xr:uid="{00000000-0005-0000-0000-000061060000}"/>
    <cellStyle name="통_출장계획서_전장기능성품질문제점진척보고_~0044114_토요(0317)_토요안건(0331)_Sheet1" xfId="1605" xr:uid="{00000000-0005-0000-0000-000062060000}"/>
    <cellStyle name="통_출장계획서_전장기능성품질문제점진척보고_~0044114_토요안건(0316)" xfId="1606" xr:uid="{00000000-0005-0000-0000-000063060000}"/>
    <cellStyle name="통_출장계획서_전장기능성품질문제점진척보고_~0044114_토요안건(0316)_Sheet1" xfId="1607" xr:uid="{00000000-0005-0000-0000-000064060000}"/>
    <cellStyle name="통_출장계획서_전장기능성품질문제점진척보고_~0044114_토요안건(0316)_토요안건(0331)" xfId="1608" xr:uid="{00000000-0005-0000-0000-000065060000}"/>
    <cellStyle name="통_출장계획서_전장기능성품질문제점진척보고_~0044114_토요안건(0316)_토요안건(0331)_Sheet1" xfId="1609" xr:uid="{00000000-0005-0000-0000-000066060000}"/>
    <cellStyle name="통_출장계획서_전장기능성품질문제점진척보고_Book2" xfId="1610" xr:uid="{00000000-0005-0000-0000-000067060000}"/>
    <cellStyle name="통_출장계획서_전장기능성품질문제점진척보고_Book2_Sheet1" xfId="1611" xr:uid="{00000000-0005-0000-0000-000068060000}"/>
    <cellStyle name="통_출장계획서_전장기능성품질문제점진척보고_Book2_토요(0317)" xfId="1612" xr:uid="{00000000-0005-0000-0000-000069060000}"/>
    <cellStyle name="통_출장계획서_전장기능성품질문제점진척보고_Book2_토요(0317)_Sheet1" xfId="1613" xr:uid="{00000000-0005-0000-0000-00006A060000}"/>
    <cellStyle name="통_출장계획서_전장기능성품질문제점진척보고_Book2_토요(0317)_토요안건(0331)" xfId="1614" xr:uid="{00000000-0005-0000-0000-00006B060000}"/>
    <cellStyle name="통_출장계획서_전장기능성품질문제점진척보고_Book2_토요(0317)_토요안건(0331)_Sheet1" xfId="1615" xr:uid="{00000000-0005-0000-0000-00006C060000}"/>
    <cellStyle name="통_출장계획서_전장기능성품질문제점진척보고_Book2_토요안건(0316)" xfId="1616" xr:uid="{00000000-0005-0000-0000-00006D060000}"/>
    <cellStyle name="통_출장계획서_전장기능성품질문제점진척보고_Book2_토요안건(0316)_Sheet1" xfId="1617" xr:uid="{00000000-0005-0000-0000-00006E060000}"/>
    <cellStyle name="통_출장계획서_전장기능성품질문제점진척보고_Book2_토요안건(0316)_토요안건(0331)" xfId="1618" xr:uid="{00000000-0005-0000-0000-00006F060000}"/>
    <cellStyle name="통_출장계획서_전장기능성품질문제점진척보고_Book2_토요안건(0316)_토요안건(0331)_Sheet1" xfId="1619" xr:uid="{00000000-0005-0000-0000-000070060000}"/>
    <cellStyle name="통_출장계획서_전장기능성품질문제점진척보고_Sheet1" xfId="1620" xr:uid="{00000000-0005-0000-0000-000071060000}"/>
    <cellStyle name="통_출장계획서_전장기능성품질문제점진척보고_토요(0317)" xfId="1621" xr:uid="{00000000-0005-0000-0000-000072060000}"/>
    <cellStyle name="통_출장계획서_전장기능성품질문제점진척보고_토요(0317)_Sheet1" xfId="1622" xr:uid="{00000000-0005-0000-0000-000073060000}"/>
    <cellStyle name="통_출장계획서_전장기능성품질문제점진척보고_토요(0317)_토요안건(0331)" xfId="1623" xr:uid="{00000000-0005-0000-0000-000074060000}"/>
    <cellStyle name="통_출장계획서_전장기능성품질문제점진척보고_토요(0317)_토요안건(0331)_Sheet1" xfId="1624" xr:uid="{00000000-0005-0000-0000-000075060000}"/>
    <cellStyle name="통_출장계획서_전장기능성품질문제점진척보고_토요안건(0316)" xfId="1625" xr:uid="{00000000-0005-0000-0000-000076060000}"/>
    <cellStyle name="통_출장계획서_전장기능성품질문제점진척보고_토요안건(0316)_Sheet1" xfId="1626" xr:uid="{00000000-0005-0000-0000-000077060000}"/>
    <cellStyle name="통_출장계획서_전장기능성품질문제점진척보고_토요안건(0316)_토요안건(0331)" xfId="1627" xr:uid="{00000000-0005-0000-0000-000078060000}"/>
    <cellStyle name="통_출장계획서_전장기능성품질문제점진척보고_토요안건(0316)_토요안건(0331)_Sheet1" xfId="1628" xr:uid="{00000000-0005-0000-0000-000079060000}"/>
    <cellStyle name="통_출장계획서_전장회장님보고자료" xfId="1629" xr:uid="{00000000-0005-0000-0000-00007A060000}"/>
    <cellStyle name="통_출장계획서_전장회장님보고자료_~0044114" xfId="1630" xr:uid="{00000000-0005-0000-0000-00007B060000}"/>
    <cellStyle name="통_출장계획서_전장회장님보고자료_~0044114_Sheet1" xfId="1631" xr:uid="{00000000-0005-0000-0000-00007C060000}"/>
    <cellStyle name="통_출장계획서_전장회장님보고자료_~0044114_토요(0317)" xfId="1632" xr:uid="{00000000-0005-0000-0000-00007D060000}"/>
    <cellStyle name="통_출장계획서_전장회장님보고자료_~0044114_토요(0317)_Sheet1" xfId="1633" xr:uid="{00000000-0005-0000-0000-00007E060000}"/>
    <cellStyle name="통_출장계획서_전장회장님보고자료_~0044114_토요(0317)_토요안건(0331)" xfId="1634" xr:uid="{00000000-0005-0000-0000-00007F060000}"/>
    <cellStyle name="통_출장계획서_전장회장님보고자료_~0044114_토요(0317)_토요안건(0331)_Sheet1" xfId="1635" xr:uid="{00000000-0005-0000-0000-000080060000}"/>
    <cellStyle name="통_출장계획서_전장회장님보고자료_~0044114_토요안건(0316)" xfId="1636" xr:uid="{00000000-0005-0000-0000-000081060000}"/>
    <cellStyle name="통_출장계획서_전장회장님보고자료_~0044114_토요안건(0316)_Sheet1" xfId="1637" xr:uid="{00000000-0005-0000-0000-000082060000}"/>
    <cellStyle name="통_출장계획서_전장회장님보고자료_~0044114_토요안건(0316)_토요안건(0331)" xfId="1638" xr:uid="{00000000-0005-0000-0000-000083060000}"/>
    <cellStyle name="통_출장계획서_전장회장님보고자료_~0044114_토요안건(0316)_토요안건(0331)_Sheet1" xfId="1639" xr:uid="{00000000-0005-0000-0000-000084060000}"/>
    <cellStyle name="통_출장계획서_전장회장님보고자료_Book2" xfId="1640" xr:uid="{00000000-0005-0000-0000-000085060000}"/>
    <cellStyle name="통_출장계획서_전장회장님보고자료_Book2_Sheet1" xfId="1641" xr:uid="{00000000-0005-0000-0000-000086060000}"/>
    <cellStyle name="통_출장계획서_전장회장님보고자료_Book2_토요(0317)" xfId="1642" xr:uid="{00000000-0005-0000-0000-000087060000}"/>
    <cellStyle name="통_출장계획서_전장회장님보고자료_Book2_토요(0317)_Sheet1" xfId="1643" xr:uid="{00000000-0005-0000-0000-000088060000}"/>
    <cellStyle name="통_출장계획서_전장회장님보고자료_Book2_토요(0317)_토요안건(0331)" xfId="1644" xr:uid="{00000000-0005-0000-0000-000089060000}"/>
    <cellStyle name="통_출장계획서_전장회장님보고자료_Book2_토요(0317)_토요안건(0331)_Sheet1" xfId="1645" xr:uid="{00000000-0005-0000-0000-00008A060000}"/>
    <cellStyle name="통_출장계획서_전장회장님보고자료_Book2_토요안건(0316)" xfId="1646" xr:uid="{00000000-0005-0000-0000-00008B060000}"/>
    <cellStyle name="통_출장계획서_전장회장님보고자료_Book2_토요안건(0316)_Sheet1" xfId="1647" xr:uid="{00000000-0005-0000-0000-00008C060000}"/>
    <cellStyle name="통_출장계획서_전장회장님보고자료_Book2_토요안건(0316)_토요안건(0331)" xfId="1648" xr:uid="{00000000-0005-0000-0000-00008D060000}"/>
    <cellStyle name="통_출장계획서_전장회장님보고자료_Book2_토요안건(0316)_토요안건(0331)_Sheet1" xfId="1649" xr:uid="{00000000-0005-0000-0000-00008E060000}"/>
    <cellStyle name="통_출장계획서_전장회장님보고자료_Sheet1" xfId="1650" xr:uid="{00000000-0005-0000-0000-00008F060000}"/>
    <cellStyle name="통_출장계획서_전장회장님보고자료_토요(0317)" xfId="1651" xr:uid="{00000000-0005-0000-0000-000090060000}"/>
    <cellStyle name="통_출장계획서_전장회장님보고자료_토요(0317)_Sheet1" xfId="1652" xr:uid="{00000000-0005-0000-0000-000091060000}"/>
    <cellStyle name="통_출장계획서_전장회장님보고자료_토요(0317)_토요안건(0331)" xfId="1653" xr:uid="{00000000-0005-0000-0000-000092060000}"/>
    <cellStyle name="통_출장계획서_전장회장님보고자료_토요(0317)_토요안건(0331)_Sheet1" xfId="1654" xr:uid="{00000000-0005-0000-0000-000093060000}"/>
    <cellStyle name="통_출장계획서_전장회장님보고자료_토요안건(0316)" xfId="1655" xr:uid="{00000000-0005-0000-0000-000094060000}"/>
    <cellStyle name="통_출장계획서_전장회장님보고자료_토요안건(0316)_Sheet1" xfId="1656" xr:uid="{00000000-0005-0000-0000-000095060000}"/>
    <cellStyle name="통_출장계획서_전장회장님보고자료_토요안건(0316)_토요안건(0331)" xfId="1657" xr:uid="{00000000-0005-0000-0000-000096060000}"/>
    <cellStyle name="통_출장계획서_전장회장님보고자료_토요안건(0316)_토요안건(0331)_Sheet1" xfId="1658" xr:uid="{00000000-0005-0000-0000-000097060000}"/>
    <cellStyle name="통_출장계획서_토요(0317)" xfId="1659" xr:uid="{00000000-0005-0000-0000-000098060000}"/>
    <cellStyle name="통_출장계획서_토요(0317)_Sheet1" xfId="1660" xr:uid="{00000000-0005-0000-0000-000099060000}"/>
    <cellStyle name="통_출장계획서_토요(0317)_토요안건(0331)" xfId="1661" xr:uid="{00000000-0005-0000-0000-00009A060000}"/>
    <cellStyle name="통_출장계획서_토요(0317)_토요안건(0331)_Sheet1" xfId="1662" xr:uid="{00000000-0005-0000-0000-00009B060000}"/>
    <cellStyle name="통_출장계획서_토요안건(0316)" xfId="1663" xr:uid="{00000000-0005-0000-0000-00009C060000}"/>
    <cellStyle name="통_출장계획서_토요안건(0316)_Sheet1" xfId="1664" xr:uid="{00000000-0005-0000-0000-00009D060000}"/>
    <cellStyle name="통_출장계획서_토요안건(0316)_토요안건(0331)" xfId="1665" xr:uid="{00000000-0005-0000-0000-00009E060000}"/>
    <cellStyle name="통_출장계획서_토요안건(0316)_토요안건(0331)_Sheet1" xfId="1666" xr:uid="{00000000-0005-0000-0000-00009F060000}"/>
    <cellStyle name="통_현안과제QIR4(rio)" xfId="1667" xr:uid="{00000000-0005-0000-0000-0000A0060000}"/>
    <cellStyle name="통_현안과제QIR4(rio)_~0044114" xfId="1668" xr:uid="{00000000-0005-0000-0000-0000A1060000}"/>
    <cellStyle name="통_현안과제QIR4(rio)_~0044114_Sheet1" xfId="1669" xr:uid="{00000000-0005-0000-0000-0000A2060000}"/>
    <cellStyle name="통_현안과제QIR4(rio)_~0044114_토요(0317)" xfId="1670" xr:uid="{00000000-0005-0000-0000-0000A3060000}"/>
    <cellStyle name="통_현안과제QIR4(rio)_~0044114_토요(0317)_Sheet1" xfId="1671" xr:uid="{00000000-0005-0000-0000-0000A4060000}"/>
    <cellStyle name="통_현안과제QIR4(rio)_~0044114_토요(0317)_토요안건(0331)" xfId="1672" xr:uid="{00000000-0005-0000-0000-0000A5060000}"/>
    <cellStyle name="통_현안과제QIR4(rio)_~0044114_토요(0317)_토요안건(0331)_Sheet1" xfId="1673" xr:uid="{00000000-0005-0000-0000-0000A6060000}"/>
    <cellStyle name="통_현안과제QIR4(rio)_~0044114_토요안건(0316)" xfId="1674" xr:uid="{00000000-0005-0000-0000-0000A7060000}"/>
    <cellStyle name="통_현안과제QIR4(rio)_~0044114_토요안건(0316)_Sheet1" xfId="1675" xr:uid="{00000000-0005-0000-0000-0000A8060000}"/>
    <cellStyle name="통_현안과제QIR4(rio)_~0044114_토요안건(0316)_토요안건(0331)" xfId="1676" xr:uid="{00000000-0005-0000-0000-0000A9060000}"/>
    <cellStyle name="통_현안과제QIR4(rio)_~0044114_토요안건(0316)_토요안건(0331)_Sheet1" xfId="1677" xr:uid="{00000000-0005-0000-0000-0000AA060000}"/>
    <cellStyle name="통_현안과제QIR4(rio)_Book2" xfId="1678" xr:uid="{00000000-0005-0000-0000-0000AB060000}"/>
    <cellStyle name="통_현안과제QIR4(rio)_Book2_Sheet1" xfId="1679" xr:uid="{00000000-0005-0000-0000-0000AC060000}"/>
    <cellStyle name="통_현안과제QIR4(rio)_Book2_토요(0317)" xfId="1680" xr:uid="{00000000-0005-0000-0000-0000AD060000}"/>
    <cellStyle name="통_현안과제QIR4(rio)_Book2_토요(0317)_Sheet1" xfId="1681" xr:uid="{00000000-0005-0000-0000-0000AE060000}"/>
    <cellStyle name="통_현안과제QIR4(rio)_Book2_토요(0317)_토요안건(0331)" xfId="1682" xr:uid="{00000000-0005-0000-0000-0000AF060000}"/>
    <cellStyle name="통_현안과제QIR4(rio)_Book2_토요(0317)_토요안건(0331)_Sheet1" xfId="1683" xr:uid="{00000000-0005-0000-0000-0000B0060000}"/>
    <cellStyle name="통_현안과제QIR4(rio)_Book2_토요안건(0316)" xfId="1684" xr:uid="{00000000-0005-0000-0000-0000B1060000}"/>
    <cellStyle name="통_현안과제QIR4(rio)_Book2_토요안건(0316)_Sheet1" xfId="1685" xr:uid="{00000000-0005-0000-0000-0000B2060000}"/>
    <cellStyle name="통_현안과제QIR4(rio)_Book2_토요안건(0316)_토요안건(0331)" xfId="1686" xr:uid="{00000000-0005-0000-0000-0000B3060000}"/>
    <cellStyle name="통_현안과제QIR4(rio)_Book2_토요안건(0316)_토요안건(0331)_Sheet1" xfId="1687" xr:uid="{00000000-0005-0000-0000-0000B4060000}"/>
    <cellStyle name="통_현안과제QIR4(rio)_Sheet1" xfId="1688" xr:uid="{00000000-0005-0000-0000-0000B5060000}"/>
    <cellStyle name="통_현안과제QIR4(rio)_신전장기능성품질문제점보고0315" xfId="1689" xr:uid="{00000000-0005-0000-0000-0000B6060000}"/>
    <cellStyle name="통_현안과제QIR4(rio)_신전장기능성품질문제점보고0315_~0044114" xfId="1690" xr:uid="{00000000-0005-0000-0000-0000B7060000}"/>
    <cellStyle name="통_현안과제QIR4(rio)_신전장기능성품질문제점보고0315_~0044114_Sheet1" xfId="1691" xr:uid="{00000000-0005-0000-0000-0000B8060000}"/>
    <cellStyle name="통_현안과제QIR4(rio)_신전장기능성품질문제점보고0315_~0044114_토요(0317)" xfId="1692" xr:uid="{00000000-0005-0000-0000-0000B9060000}"/>
    <cellStyle name="통_현안과제QIR4(rio)_신전장기능성품질문제점보고0315_~0044114_토요(0317)_Sheet1" xfId="1693" xr:uid="{00000000-0005-0000-0000-0000BA060000}"/>
    <cellStyle name="통_현안과제QIR4(rio)_신전장기능성품질문제점보고0315_~0044114_토요(0317)_토요안건(0331)" xfId="1694" xr:uid="{00000000-0005-0000-0000-0000BB060000}"/>
    <cellStyle name="통_현안과제QIR4(rio)_신전장기능성품질문제점보고0315_~0044114_토요(0317)_토요안건(0331)_Sheet1" xfId="1695" xr:uid="{00000000-0005-0000-0000-0000BC060000}"/>
    <cellStyle name="통_현안과제QIR4(rio)_신전장기능성품질문제점보고0315_~0044114_토요안건(0316)" xfId="1696" xr:uid="{00000000-0005-0000-0000-0000BD060000}"/>
    <cellStyle name="통_현안과제QIR4(rio)_신전장기능성품질문제점보고0315_~0044114_토요안건(0316)_Sheet1" xfId="1697" xr:uid="{00000000-0005-0000-0000-0000BE060000}"/>
    <cellStyle name="통_현안과제QIR4(rio)_신전장기능성품질문제점보고0315_~0044114_토요안건(0316)_토요안건(0331)" xfId="1698" xr:uid="{00000000-0005-0000-0000-0000BF060000}"/>
    <cellStyle name="통_현안과제QIR4(rio)_신전장기능성품질문제점보고0315_~0044114_토요안건(0316)_토요안건(0331)_Sheet1" xfId="1699" xr:uid="{00000000-0005-0000-0000-0000C0060000}"/>
    <cellStyle name="통_현안과제QIR4(rio)_신전장기능성품질문제점보고0315_Book2" xfId="1700" xr:uid="{00000000-0005-0000-0000-0000C1060000}"/>
    <cellStyle name="통_현안과제QIR4(rio)_신전장기능성품질문제점보고0315_Book2_Sheet1" xfId="1701" xr:uid="{00000000-0005-0000-0000-0000C2060000}"/>
    <cellStyle name="통_현안과제QIR4(rio)_신전장기능성품질문제점보고0315_Book2_토요(0317)" xfId="1702" xr:uid="{00000000-0005-0000-0000-0000C3060000}"/>
    <cellStyle name="통_현안과제QIR4(rio)_신전장기능성품질문제점보고0315_Book2_토요(0317)_Sheet1" xfId="1703" xr:uid="{00000000-0005-0000-0000-0000C4060000}"/>
    <cellStyle name="통_현안과제QIR4(rio)_신전장기능성품질문제점보고0315_Book2_토요(0317)_토요안건(0331)" xfId="1704" xr:uid="{00000000-0005-0000-0000-0000C5060000}"/>
    <cellStyle name="통_현안과제QIR4(rio)_신전장기능성품질문제점보고0315_Book2_토요(0317)_토요안건(0331)_Sheet1" xfId="1705" xr:uid="{00000000-0005-0000-0000-0000C6060000}"/>
    <cellStyle name="통_현안과제QIR4(rio)_신전장기능성품질문제점보고0315_Book2_토요안건(0316)" xfId="1706" xr:uid="{00000000-0005-0000-0000-0000C7060000}"/>
    <cellStyle name="통_현안과제QIR4(rio)_신전장기능성품질문제점보고0315_Book2_토요안건(0316)_Sheet1" xfId="1707" xr:uid="{00000000-0005-0000-0000-0000C8060000}"/>
    <cellStyle name="통_현안과제QIR4(rio)_신전장기능성품질문제점보고0315_Book2_토요안건(0316)_토요안건(0331)" xfId="1708" xr:uid="{00000000-0005-0000-0000-0000C9060000}"/>
    <cellStyle name="통_현안과제QIR4(rio)_신전장기능성품질문제점보고0315_Book2_토요안건(0316)_토요안건(0331)_Sheet1" xfId="1709" xr:uid="{00000000-0005-0000-0000-0000CA060000}"/>
    <cellStyle name="통_현안과제QIR4(rio)_신전장기능성품질문제점보고0315_Sheet1" xfId="1710" xr:uid="{00000000-0005-0000-0000-0000CB060000}"/>
    <cellStyle name="통_현안과제QIR4(rio)_신전장기능성품질문제점보고0315_토요(0317)" xfId="1711" xr:uid="{00000000-0005-0000-0000-0000CC060000}"/>
    <cellStyle name="통_현안과제QIR4(rio)_신전장기능성품질문제점보고0315_토요(0317)_Sheet1" xfId="1712" xr:uid="{00000000-0005-0000-0000-0000CD060000}"/>
    <cellStyle name="통_현안과제QIR4(rio)_신전장기능성품질문제점보고0315_토요(0317)_토요안건(0331)" xfId="1713" xr:uid="{00000000-0005-0000-0000-0000CE060000}"/>
    <cellStyle name="통_현안과제QIR4(rio)_신전장기능성품질문제점보고0315_토요(0317)_토요안건(0331)_Sheet1" xfId="1714" xr:uid="{00000000-0005-0000-0000-0000CF060000}"/>
    <cellStyle name="통_현안과제QIR4(rio)_신전장기능성품질문제점보고0315_토요안건(0316)" xfId="1715" xr:uid="{00000000-0005-0000-0000-0000D0060000}"/>
    <cellStyle name="통_현안과제QIR4(rio)_신전장기능성품질문제점보고0315_토요안건(0316)_Sheet1" xfId="1716" xr:uid="{00000000-0005-0000-0000-0000D1060000}"/>
    <cellStyle name="통_현안과제QIR4(rio)_신전장기능성품질문제점보고0315_토요안건(0316)_토요안건(0331)" xfId="1717" xr:uid="{00000000-0005-0000-0000-0000D2060000}"/>
    <cellStyle name="통_현안과제QIR4(rio)_신전장기능성품질문제점보고0315_토요안건(0316)_토요안건(0331)_Sheet1" xfId="1718" xr:uid="{00000000-0005-0000-0000-0000D3060000}"/>
    <cellStyle name="통_현안과제QIR4(rio)_전장기능성품질문제점진척보고" xfId="1719" xr:uid="{00000000-0005-0000-0000-0000D4060000}"/>
    <cellStyle name="통_현안과제QIR4(rio)_전장기능성품질문제점진척보고_~0044114" xfId="1720" xr:uid="{00000000-0005-0000-0000-0000D5060000}"/>
    <cellStyle name="통_현안과제QIR4(rio)_전장기능성품질문제점진척보고_~0044114_Sheet1" xfId="1721" xr:uid="{00000000-0005-0000-0000-0000D6060000}"/>
    <cellStyle name="통_현안과제QIR4(rio)_전장기능성품질문제점진척보고_~0044114_토요(0317)" xfId="1722" xr:uid="{00000000-0005-0000-0000-0000D7060000}"/>
    <cellStyle name="통_현안과제QIR4(rio)_전장기능성품질문제점진척보고_~0044114_토요(0317)_Sheet1" xfId="1723" xr:uid="{00000000-0005-0000-0000-0000D8060000}"/>
    <cellStyle name="통_현안과제QIR4(rio)_전장기능성품질문제점진척보고_~0044114_토요(0317)_토요안건(0331)" xfId="1724" xr:uid="{00000000-0005-0000-0000-0000D9060000}"/>
    <cellStyle name="통_현안과제QIR4(rio)_전장기능성품질문제점진척보고_~0044114_토요(0317)_토요안건(0331)_Sheet1" xfId="1725" xr:uid="{00000000-0005-0000-0000-0000DA060000}"/>
    <cellStyle name="통_현안과제QIR4(rio)_전장기능성품질문제점진척보고_~0044114_토요안건(0316)" xfId="1726" xr:uid="{00000000-0005-0000-0000-0000DB060000}"/>
    <cellStyle name="통_현안과제QIR4(rio)_전장기능성품질문제점진척보고_~0044114_토요안건(0316)_Sheet1" xfId="1727" xr:uid="{00000000-0005-0000-0000-0000DC060000}"/>
    <cellStyle name="통_현안과제QIR4(rio)_전장기능성품질문제점진척보고_~0044114_토요안건(0316)_토요안건(0331)" xfId="1728" xr:uid="{00000000-0005-0000-0000-0000DD060000}"/>
    <cellStyle name="통_현안과제QIR4(rio)_전장기능성품질문제점진척보고_~0044114_토요안건(0316)_토요안건(0331)_Sheet1" xfId="1729" xr:uid="{00000000-0005-0000-0000-0000DE060000}"/>
    <cellStyle name="통_현안과제QIR4(rio)_전장기능성품질문제점진척보고_Book2" xfId="1730" xr:uid="{00000000-0005-0000-0000-0000DF060000}"/>
    <cellStyle name="통_현안과제QIR4(rio)_전장기능성품질문제점진척보고_Book2_Sheet1" xfId="1731" xr:uid="{00000000-0005-0000-0000-0000E0060000}"/>
    <cellStyle name="통_현안과제QIR4(rio)_전장기능성품질문제점진척보고_Book2_토요(0317)" xfId="1732" xr:uid="{00000000-0005-0000-0000-0000E1060000}"/>
    <cellStyle name="통_현안과제QIR4(rio)_전장기능성품질문제점진척보고_Book2_토요(0317)_Sheet1" xfId="1733" xr:uid="{00000000-0005-0000-0000-0000E2060000}"/>
    <cellStyle name="통_현안과제QIR4(rio)_전장기능성품질문제점진척보고_Book2_토요(0317)_토요안건(0331)" xfId="1734" xr:uid="{00000000-0005-0000-0000-0000E3060000}"/>
    <cellStyle name="통_현안과제QIR4(rio)_전장기능성품질문제점진척보고_Book2_토요(0317)_토요안건(0331)_Sheet1" xfId="1735" xr:uid="{00000000-0005-0000-0000-0000E4060000}"/>
    <cellStyle name="통_현안과제QIR4(rio)_전장기능성품질문제점진척보고_Book2_토요안건(0316)" xfId="1736" xr:uid="{00000000-0005-0000-0000-0000E5060000}"/>
    <cellStyle name="통_현안과제QIR4(rio)_전장기능성품질문제점진척보고_Book2_토요안건(0316)_Sheet1" xfId="1737" xr:uid="{00000000-0005-0000-0000-0000E6060000}"/>
    <cellStyle name="통_현안과제QIR4(rio)_전장기능성품질문제점진척보고_Book2_토요안건(0316)_토요안건(0331)" xfId="1738" xr:uid="{00000000-0005-0000-0000-0000E7060000}"/>
    <cellStyle name="통_현안과제QIR4(rio)_전장기능성품질문제점진척보고_Book2_토요안건(0316)_토요안건(0331)_Sheet1" xfId="1739" xr:uid="{00000000-0005-0000-0000-0000E8060000}"/>
    <cellStyle name="통_현안과제QIR4(rio)_전장기능성품질문제점진척보고_Sheet1" xfId="1740" xr:uid="{00000000-0005-0000-0000-0000E9060000}"/>
    <cellStyle name="통_현안과제QIR4(rio)_전장기능성품질문제점진척보고_토요(0317)" xfId="1741" xr:uid="{00000000-0005-0000-0000-0000EA060000}"/>
    <cellStyle name="통_현안과제QIR4(rio)_전장기능성품질문제점진척보고_토요(0317)_Sheet1" xfId="1742" xr:uid="{00000000-0005-0000-0000-0000EB060000}"/>
    <cellStyle name="통_현안과제QIR4(rio)_전장기능성품질문제점진척보고_토요(0317)_토요안건(0331)" xfId="1743" xr:uid="{00000000-0005-0000-0000-0000EC060000}"/>
    <cellStyle name="통_현안과제QIR4(rio)_전장기능성품질문제점진척보고_토요(0317)_토요안건(0331)_Sheet1" xfId="1744" xr:uid="{00000000-0005-0000-0000-0000ED060000}"/>
    <cellStyle name="통_현안과제QIR4(rio)_전장기능성품질문제점진척보고_토요안건(0316)" xfId="1745" xr:uid="{00000000-0005-0000-0000-0000EE060000}"/>
    <cellStyle name="통_현안과제QIR4(rio)_전장기능성품질문제점진척보고_토요안건(0316)_Sheet1" xfId="1746" xr:uid="{00000000-0005-0000-0000-0000EF060000}"/>
    <cellStyle name="통_현안과제QIR4(rio)_전장기능성품질문제점진척보고_토요안건(0316)_토요안건(0331)" xfId="1747" xr:uid="{00000000-0005-0000-0000-0000F0060000}"/>
    <cellStyle name="통_현안과제QIR4(rio)_전장기능성품질문제점진척보고_토요안건(0316)_토요안건(0331)_Sheet1" xfId="1748" xr:uid="{00000000-0005-0000-0000-0000F1060000}"/>
    <cellStyle name="통_현안과제QIR4(rio)_전장회장님보고자료" xfId="1749" xr:uid="{00000000-0005-0000-0000-0000F2060000}"/>
    <cellStyle name="통_현안과제QIR4(rio)_전장회장님보고자료_~0044114" xfId="1750" xr:uid="{00000000-0005-0000-0000-0000F3060000}"/>
    <cellStyle name="통_현안과제QIR4(rio)_전장회장님보고자료_~0044114_Sheet1" xfId="1751" xr:uid="{00000000-0005-0000-0000-0000F4060000}"/>
    <cellStyle name="통_현안과제QIR4(rio)_전장회장님보고자료_~0044114_토요(0317)" xfId="1752" xr:uid="{00000000-0005-0000-0000-0000F5060000}"/>
    <cellStyle name="통_현안과제QIR4(rio)_전장회장님보고자료_~0044114_토요(0317)_Sheet1" xfId="1753" xr:uid="{00000000-0005-0000-0000-0000F6060000}"/>
    <cellStyle name="통_현안과제QIR4(rio)_전장회장님보고자료_~0044114_토요(0317)_토요안건(0331)" xfId="1754" xr:uid="{00000000-0005-0000-0000-0000F7060000}"/>
    <cellStyle name="통_현안과제QIR4(rio)_전장회장님보고자료_~0044114_토요(0317)_토요안건(0331)_Sheet1" xfId="1755" xr:uid="{00000000-0005-0000-0000-0000F8060000}"/>
    <cellStyle name="통_현안과제QIR4(rio)_전장회장님보고자료_~0044114_토요안건(0316)" xfId="1756" xr:uid="{00000000-0005-0000-0000-0000F9060000}"/>
    <cellStyle name="통_현안과제QIR4(rio)_전장회장님보고자료_~0044114_토요안건(0316)_Sheet1" xfId="1757" xr:uid="{00000000-0005-0000-0000-0000FA060000}"/>
    <cellStyle name="통_현안과제QIR4(rio)_전장회장님보고자료_~0044114_토요안건(0316)_토요안건(0331)" xfId="1758" xr:uid="{00000000-0005-0000-0000-0000FB060000}"/>
    <cellStyle name="통_현안과제QIR4(rio)_전장회장님보고자료_~0044114_토요안건(0316)_토요안건(0331)_Sheet1" xfId="1759" xr:uid="{00000000-0005-0000-0000-0000FC060000}"/>
    <cellStyle name="통_현안과제QIR4(rio)_전장회장님보고자료_Book2" xfId="1760" xr:uid="{00000000-0005-0000-0000-0000FD060000}"/>
    <cellStyle name="통_현안과제QIR4(rio)_전장회장님보고자료_Book2_Sheet1" xfId="1761" xr:uid="{00000000-0005-0000-0000-0000FE060000}"/>
    <cellStyle name="통_현안과제QIR4(rio)_전장회장님보고자료_Book2_토요(0317)" xfId="1762" xr:uid="{00000000-0005-0000-0000-0000FF060000}"/>
    <cellStyle name="통_현안과제QIR4(rio)_전장회장님보고자료_Book2_토요(0317)_Sheet1" xfId="1763" xr:uid="{00000000-0005-0000-0000-000000070000}"/>
    <cellStyle name="통_현안과제QIR4(rio)_전장회장님보고자료_Book2_토요(0317)_토요안건(0331)" xfId="1764" xr:uid="{00000000-0005-0000-0000-000001070000}"/>
    <cellStyle name="통_현안과제QIR4(rio)_전장회장님보고자료_Book2_토요(0317)_토요안건(0331)_Sheet1" xfId="1765" xr:uid="{00000000-0005-0000-0000-000002070000}"/>
    <cellStyle name="통_현안과제QIR4(rio)_전장회장님보고자료_Book2_토요안건(0316)" xfId="1766" xr:uid="{00000000-0005-0000-0000-000003070000}"/>
    <cellStyle name="통_현안과제QIR4(rio)_전장회장님보고자료_Book2_토요안건(0316)_Sheet1" xfId="1767" xr:uid="{00000000-0005-0000-0000-000004070000}"/>
    <cellStyle name="통_현안과제QIR4(rio)_전장회장님보고자료_Book2_토요안건(0316)_토요안건(0331)" xfId="1768" xr:uid="{00000000-0005-0000-0000-000005070000}"/>
    <cellStyle name="통_현안과제QIR4(rio)_전장회장님보고자료_Book2_토요안건(0316)_토요안건(0331)_Sheet1" xfId="1769" xr:uid="{00000000-0005-0000-0000-000006070000}"/>
    <cellStyle name="통_현안과제QIR4(rio)_전장회장님보고자료_Sheet1" xfId="1770" xr:uid="{00000000-0005-0000-0000-000007070000}"/>
    <cellStyle name="통_현안과제QIR4(rio)_전장회장님보고자료_토요(0317)" xfId="1771" xr:uid="{00000000-0005-0000-0000-000008070000}"/>
    <cellStyle name="통_현안과제QIR4(rio)_전장회장님보고자료_토요(0317)_Sheet1" xfId="1772" xr:uid="{00000000-0005-0000-0000-000009070000}"/>
    <cellStyle name="통_현안과제QIR4(rio)_전장회장님보고자료_토요(0317)_토요안건(0331)" xfId="1773" xr:uid="{00000000-0005-0000-0000-00000A070000}"/>
    <cellStyle name="통_현안과제QIR4(rio)_전장회장님보고자료_토요(0317)_토요안건(0331)_Sheet1" xfId="1774" xr:uid="{00000000-0005-0000-0000-00000B070000}"/>
    <cellStyle name="통_현안과제QIR4(rio)_전장회장님보고자료_토요안건(0316)" xfId="1775" xr:uid="{00000000-0005-0000-0000-00000C070000}"/>
    <cellStyle name="통_현안과제QIR4(rio)_전장회장님보고자료_토요안건(0316)_Sheet1" xfId="1776" xr:uid="{00000000-0005-0000-0000-00000D070000}"/>
    <cellStyle name="통_현안과제QIR4(rio)_전장회장님보고자료_토요안건(0316)_토요안건(0331)" xfId="1777" xr:uid="{00000000-0005-0000-0000-00000E070000}"/>
    <cellStyle name="통_현안과제QIR4(rio)_전장회장님보고자료_토요안건(0316)_토요안건(0331)_Sheet1" xfId="1778" xr:uid="{00000000-0005-0000-0000-00000F070000}"/>
    <cellStyle name="통_현안과제QIR4(rio)_토요(0317)" xfId="1779" xr:uid="{00000000-0005-0000-0000-000010070000}"/>
    <cellStyle name="통_현안과제QIR4(rio)_토요(0317)_Sheet1" xfId="1780" xr:uid="{00000000-0005-0000-0000-000011070000}"/>
    <cellStyle name="통_현안과제QIR4(rio)_토요(0317)_토요안건(0331)" xfId="1781" xr:uid="{00000000-0005-0000-0000-000012070000}"/>
    <cellStyle name="통_현안과제QIR4(rio)_토요(0317)_토요안건(0331)_Sheet1" xfId="1782" xr:uid="{00000000-0005-0000-0000-000013070000}"/>
    <cellStyle name="통_현안과제QIR4(rio)_토요안건(0316)" xfId="1783" xr:uid="{00000000-0005-0000-0000-000014070000}"/>
    <cellStyle name="통_현안과제QIR4(rio)_토요안건(0316)_Sheet1" xfId="1784" xr:uid="{00000000-0005-0000-0000-000015070000}"/>
    <cellStyle name="통_현안과제QIR4(rio)_토요안건(0316)_토요안건(0331)" xfId="1785" xr:uid="{00000000-0005-0000-0000-000016070000}"/>
    <cellStyle name="통_현안과제QIR4(rio)_토요안건(0316)_토요안건(0331)_Sheet1" xfId="1786" xr:uid="{00000000-0005-0000-0000-000017070000}"/>
    <cellStyle name="통화 [" xfId="1787" xr:uid="{00000000-0005-0000-0000-000018070000}"/>
    <cellStyle name="통화 [0]_1202" xfId="1788" xr:uid="{00000000-0005-0000-0000-000019070000}"/>
    <cellStyle name="통화_1202" xfId="1789" xr:uid="{00000000-0005-0000-0000-00001A070000}"/>
    <cellStyle name="팒" xfId="1790" xr:uid="{00000000-0005-0000-0000-00001B070000}"/>
    <cellStyle name="퍼센트_V-200제작추진 " xfId="1791" xr:uid="{00000000-0005-0000-0000-00001C070000}"/>
    <cellStyle name="표" xfId="1792" xr:uid="{00000000-0005-0000-0000-00001D070000}"/>
    <cellStyle name="표_출장계획서" xfId="1793" xr:uid="{00000000-0005-0000-0000-00001E070000}"/>
    <cellStyle name="표_출장계획서_~0044114" xfId="1794" xr:uid="{00000000-0005-0000-0000-00001F070000}"/>
    <cellStyle name="표_출장계획서_~0044114_Sheet1" xfId="1795" xr:uid="{00000000-0005-0000-0000-000020070000}"/>
    <cellStyle name="표_출장계획서_~0044114_토요(0317)" xfId="1796" xr:uid="{00000000-0005-0000-0000-000021070000}"/>
    <cellStyle name="표_출장계획서_~0044114_토요(0317)_Sheet1" xfId="1797" xr:uid="{00000000-0005-0000-0000-000022070000}"/>
    <cellStyle name="표_출장계획서_~0044114_토요(0317)_토요안건(0331)" xfId="1798" xr:uid="{00000000-0005-0000-0000-000023070000}"/>
    <cellStyle name="표_출장계획서_~0044114_토요(0317)_토요안건(0331)_Sheet1" xfId="1799" xr:uid="{00000000-0005-0000-0000-000024070000}"/>
    <cellStyle name="표_출장계획서_~0044114_토요안건(0316)" xfId="1800" xr:uid="{00000000-0005-0000-0000-000025070000}"/>
    <cellStyle name="표_출장계획서_~0044114_토요안건(0316)_Sheet1" xfId="1801" xr:uid="{00000000-0005-0000-0000-000026070000}"/>
    <cellStyle name="표_출장계획서_~0044114_토요안건(0316)_토요안건(0331)" xfId="1802" xr:uid="{00000000-0005-0000-0000-000027070000}"/>
    <cellStyle name="표_출장계획서_~0044114_토요안건(0316)_토요안건(0331)_Sheet1" xfId="1803" xr:uid="{00000000-0005-0000-0000-000028070000}"/>
    <cellStyle name="표_출장계획서_Book2" xfId="1804" xr:uid="{00000000-0005-0000-0000-000029070000}"/>
    <cellStyle name="표_출장계획서_Book2_Sheet1" xfId="1805" xr:uid="{00000000-0005-0000-0000-00002A070000}"/>
    <cellStyle name="표_출장계획서_Book2_토요(0317)" xfId="1806" xr:uid="{00000000-0005-0000-0000-00002B070000}"/>
    <cellStyle name="표_출장계획서_Book2_토요(0317)_Sheet1" xfId="1807" xr:uid="{00000000-0005-0000-0000-00002C070000}"/>
    <cellStyle name="표_출장계획서_Book2_토요(0317)_토요안건(0331)" xfId="1808" xr:uid="{00000000-0005-0000-0000-00002D070000}"/>
    <cellStyle name="표_출장계획서_Book2_토요(0317)_토요안건(0331)_Sheet1" xfId="1809" xr:uid="{00000000-0005-0000-0000-00002E070000}"/>
    <cellStyle name="표_출장계획서_Book2_토요안건(0316)" xfId="1810" xr:uid="{00000000-0005-0000-0000-00002F070000}"/>
    <cellStyle name="표_출장계획서_Book2_토요안건(0316)_Sheet1" xfId="1811" xr:uid="{00000000-0005-0000-0000-000030070000}"/>
    <cellStyle name="표_출장계획서_Book2_토요안건(0316)_토요안건(0331)" xfId="1812" xr:uid="{00000000-0005-0000-0000-000031070000}"/>
    <cellStyle name="표_출장계획서_Book2_토요안건(0316)_토요안건(0331)_Sheet1" xfId="1813" xr:uid="{00000000-0005-0000-0000-000032070000}"/>
    <cellStyle name="표_출장계획서_Sheet1" xfId="1814" xr:uid="{00000000-0005-0000-0000-000033070000}"/>
    <cellStyle name="표_출장계획서_신전장기능성품질문제점보고0315" xfId="1815" xr:uid="{00000000-0005-0000-0000-000034070000}"/>
    <cellStyle name="표_출장계획서_신전장기능성품질문제점보고0315_~0044114" xfId="1816" xr:uid="{00000000-0005-0000-0000-000035070000}"/>
    <cellStyle name="표_출장계획서_신전장기능성품질문제점보고0315_~0044114_Sheet1" xfId="1817" xr:uid="{00000000-0005-0000-0000-000036070000}"/>
    <cellStyle name="표_출장계획서_신전장기능성품질문제점보고0315_~0044114_토요(0317)" xfId="1818" xr:uid="{00000000-0005-0000-0000-000037070000}"/>
    <cellStyle name="표_출장계획서_신전장기능성품질문제점보고0315_~0044114_토요(0317)_Sheet1" xfId="1819" xr:uid="{00000000-0005-0000-0000-000038070000}"/>
    <cellStyle name="표_출장계획서_신전장기능성품질문제점보고0315_~0044114_토요(0317)_토요안건(0331)" xfId="1820" xr:uid="{00000000-0005-0000-0000-000039070000}"/>
    <cellStyle name="표_출장계획서_신전장기능성품질문제점보고0315_~0044114_토요(0317)_토요안건(0331)_Sheet1" xfId="1821" xr:uid="{00000000-0005-0000-0000-00003A070000}"/>
    <cellStyle name="표_출장계획서_신전장기능성품질문제점보고0315_~0044114_토요안건(0316)" xfId="1822" xr:uid="{00000000-0005-0000-0000-00003B070000}"/>
    <cellStyle name="표_출장계획서_신전장기능성품질문제점보고0315_~0044114_토요안건(0316)_Sheet1" xfId="1823" xr:uid="{00000000-0005-0000-0000-00003C070000}"/>
    <cellStyle name="표_출장계획서_신전장기능성품질문제점보고0315_~0044114_토요안건(0316)_토요안건(0331)" xfId="1824" xr:uid="{00000000-0005-0000-0000-00003D070000}"/>
    <cellStyle name="표_출장계획서_신전장기능성품질문제점보고0315_~0044114_토요안건(0316)_토요안건(0331)_Sheet1" xfId="1825" xr:uid="{00000000-0005-0000-0000-00003E070000}"/>
    <cellStyle name="표_출장계획서_신전장기능성품질문제점보고0315_Book2" xfId="1826" xr:uid="{00000000-0005-0000-0000-00003F070000}"/>
    <cellStyle name="표_출장계획서_신전장기능성품질문제점보고0315_Book2_Sheet1" xfId="1827" xr:uid="{00000000-0005-0000-0000-000040070000}"/>
    <cellStyle name="표_출장계획서_신전장기능성품질문제점보고0315_Book2_토요(0317)" xfId="1828" xr:uid="{00000000-0005-0000-0000-000041070000}"/>
    <cellStyle name="표_출장계획서_신전장기능성품질문제점보고0315_Book2_토요(0317)_Sheet1" xfId="1829" xr:uid="{00000000-0005-0000-0000-000042070000}"/>
    <cellStyle name="표_출장계획서_신전장기능성품질문제점보고0315_Book2_토요(0317)_토요안건(0331)" xfId="1830" xr:uid="{00000000-0005-0000-0000-000043070000}"/>
    <cellStyle name="표_출장계획서_신전장기능성품질문제점보고0315_Book2_토요(0317)_토요안건(0331)_Sheet1" xfId="1831" xr:uid="{00000000-0005-0000-0000-000044070000}"/>
    <cellStyle name="표_출장계획서_신전장기능성품질문제점보고0315_Book2_토요안건(0316)" xfId="1832" xr:uid="{00000000-0005-0000-0000-000045070000}"/>
    <cellStyle name="표_출장계획서_신전장기능성품질문제점보고0315_Book2_토요안건(0316)_Sheet1" xfId="1833" xr:uid="{00000000-0005-0000-0000-000046070000}"/>
    <cellStyle name="표_출장계획서_신전장기능성품질문제점보고0315_Book2_토요안건(0316)_토요안건(0331)" xfId="1834" xr:uid="{00000000-0005-0000-0000-000047070000}"/>
    <cellStyle name="표_출장계획서_신전장기능성품질문제점보고0315_Book2_토요안건(0316)_토요안건(0331)_Sheet1" xfId="1835" xr:uid="{00000000-0005-0000-0000-000048070000}"/>
    <cellStyle name="표_출장계획서_신전장기능성품질문제점보고0315_Sheet1" xfId="1836" xr:uid="{00000000-0005-0000-0000-000049070000}"/>
    <cellStyle name="표_출장계획서_신전장기능성품질문제점보고0315_토요(0317)" xfId="1837" xr:uid="{00000000-0005-0000-0000-00004A070000}"/>
    <cellStyle name="표_출장계획서_신전장기능성품질문제점보고0315_토요(0317)_Sheet1" xfId="1838" xr:uid="{00000000-0005-0000-0000-00004B070000}"/>
    <cellStyle name="표_출장계획서_신전장기능성품질문제점보고0315_토요(0317)_토요안건(0331)" xfId="1839" xr:uid="{00000000-0005-0000-0000-00004C070000}"/>
    <cellStyle name="표_출장계획서_신전장기능성품질문제점보고0315_토요(0317)_토요안건(0331)_Sheet1" xfId="1840" xr:uid="{00000000-0005-0000-0000-00004D070000}"/>
    <cellStyle name="표_출장계획서_신전장기능성품질문제점보고0315_토요안건(0316)" xfId="1841" xr:uid="{00000000-0005-0000-0000-00004E070000}"/>
    <cellStyle name="표_출장계획서_신전장기능성품질문제점보고0315_토요안건(0316)_Sheet1" xfId="1842" xr:uid="{00000000-0005-0000-0000-00004F070000}"/>
    <cellStyle name="표_출장계획서_신전장기능성품질문제점보고0315_토요안건(0316)_토요안건(0331)" xfId="1843" xr:uid="{00000000-0005-0000-0000-000050070000}"/>
    <cellStyle name="표_출장계획서_신전장기능성품질문제점보고0315_토요안건(0316)_토요안건(0331)_Sheet1" xfId="1844" xr:uid="{00000000-0005-0000-0000-000051070000}"/>
    <cellStyle name="표_출장계획서_전장기능성품질문제점진척보고" xfId="1845" xr:uid="{00000000-0005-0000-0000-000052070000}"/>
    <cellStyle name="표_출장계획서_전장기능성품질문제점진척보고_~0044114" xfId="1846" xr:uid="{00000000-0005-0000-0000-000053070000}"/>
    <cellStyle name="표_출장계획서_전장기능성품질문제점진척보고_~0044114_Sheet1" xfId="1847" xr:uid="{00000000-0005-0000-0000-000054070000}"/>
    <cellStyle name="표_출장계획서_전장기능성품질문제점진척보고_~0044114_토요(0317)" xfId="1848" xr:uid="{00000000-0005-0000-0000-000055070000}"/>
    <cellStyle name="표_출장계획서_전장기능성품질문제점진척보고_~0044114_토요(0317)_Sheet1" xfId="1849" xr:uid="{00000000-0005-0000-0000-000056070000}"/>
    <cellStyle name="표_출장계획서_전장기능성품질문제점진척보고_~0044114_토요(0317)_토요안건(0331)" xfId="1850" xr:uid="{00000000-0005-0000-0000-000057070000}"/>
    <cellStyle name="표_출장계획서_전장기능성품질문제점진척보고_~0044114_토요(0317)_토요안건(0331)_Sheet1" xfId="1851" xr:uid="{00000000-0005-0000-0000-000058070000}"/>
    <cellStyle name="표_출장계획서_전장기능성품질문제점진척보고_~0044114_토요안건(0316)" xfId="1852" xr:uid="{00000000-0005-0000-0000-000059070000}"/>
    <cellStyle name="표_출장계획서_전장기능성품질문제점진척보고_~0044114_토요안건(0316)_Sheet1" xfId="1853" xr:uid="{00000000-0005-0000-0000-00005A070000}"/>
    <cellStyle name="표_출장계획서_전장기능성품질문제점진척보고_~0044114_토요안건(0316)_토요안건(0331)" xfId="1854" xr:uid="{00000000-0005-0000-0000-00005B070000}"/>
    <cellStyle name="표_출장계획서_전장기능성품질문제점진척보고_~0044114_토요안건(0316)_토요안건(0331)_Sheet1" xfId="1855" xr:uid="{00000000-0005-0000-0000-00005C070000}"/>
    <cellStyle name="표_출장계획서_전장기능성품질문제점진척보고_Book2" xfId="1856" xr:uid="{00000000-0005-0000-0000-00005D070000}"/>
    <cellStyle name="표_출장계획서_전장기능성품질문제점진척보고_Book2_Sheet1" xfId="1857" xr:uid="{00000000-0005-0000-0000-00005E070000}"/>
    <cellStyle name="표_출장계획서_전장기능성품질문제점진척보고_Book2_토요(0317)" xfId="1858" xr:uid="{00000000-0005-0000-0000-00005F070000}"/>
    <cellStyle name="표_출장계획서_전장기능성품질문제점진척보고_Book2_토요(0317)_Sheet1" xfId="1859" xr:uid="{00000000-0005-0000-0000-000060070000}"/>
    <cellStyle name="표_출장계획서_전장기능성품질문제점진척보고_Book2_토요(0317)_토요안건(0331)" xfId="1860" xr:uid="{00000000-0005-0000-0000-000061070000}"/>
    <cellStyle name="표_출장계획서_전장기능성품질문제점진척보고_Book2_토요(0317)_토요안건(0331)_Sheet1" xfId="1861" xr:uid="{00000000-0005-0000-0000-000062070000}"/>
    <cellStyle name="표_출장계획서_전장기능성품질문제점진척보고_Book2_토요안건(0316)" xfId="1862" xr:uid="{00000000-0005-0000-0000-000063070000}"/>
    <cellStyle name="표_출장계획서_전장기능성품질문제점진척보고_Book2_토요안건(0316)_Sheet1" xfId="1863" xr:uid="{00000000-0005-0000-0000-000064070000}"/>
    <cellStyle name="표_출장계획서_전장기능성품질문제점진척보고_Book2_토요안건(0316)_토요안건(0331)" xfId="1864" xr:uid="{00000000-0005-0000-0000-000065070000}"/>
    <cellStyle name="표_출장계획서_전장기능성품질문제점진척보고_Book2_토요안건(0316)_토요안건(0331)_Sheet1" xfId="1865" xr:uid="{00000000-0005-0000-0000-000066070000}"/>
    <cellStyle name="표_출장계획서_전장기능성품질문제점진척보고_Sheet1" xfId="1866" xr:uid="{00000000-0005-0000-0000-000067070000}"/>
    <cellStyle name="표_출장계획서_전장기능성품질문제점진척보고_토요(0317)" xfId="1867" xr:uid="{00000000-0005-0000-0000-000068070000}"/>
    <cellStyle name="표_출장계획서_전장기능성품질문제점진척보고_토요(0317)_Sheet1" xfId="1868" xr:uid="{00000000-0005-0000-0000-000069070000}"/>
    <cellStyle name="표_출장계획서_전장기능성품질문제점진척보고_토요(0317)_토요안건(0331)" xfId="1869" xr:uid="{00000000-0005-0000-0000-00006A070000}"/>
    <cellStyle name="표_출장계획서_전장기능성품질문제점진척보고_토요(0317)_토요안건(0331)_Sheet1" xfId="1870" xr:uid="{00000000-0005-0000-0000-00006B070000}"/>
    <cellStyle name="표_출장계획서_전장기능성품질문제점진척보고_토요안건(0316)" xfId="1871" xr:uid="{00000000-0005-0000-0000-00006C070000}"/>
    <cellStyle name="표_출장계획서_전장기능성품질문제점진척보고_토요안건(0316)_Sheet1" xfId="1872" xr:uid="{00000000-0005-0000-0000-00006D070000}"/>
    <cellStyle name="표_출장계획서_전장기능성품질문제점진척보고_토요안건(0316)_토요안건(0331)" xfId="1873" xr:uid="{00000000-0005-0000-0000-00006E070000}"/>
    <cellStyle name="표_출장계획서_전장기능성품질문제점진척보고_토요안건(0316)_토요안건(0331)_Sheet1" xfId="1874" xr:uid="{00000000-0005-0000-0000-00006F070000}"/>
    <cellStyle name="표_출장계획서_전장회장님보고자료" xfId="1875" xr:uid="{00000000-0005-0000-0000-000070070000}"/>
    <cellStyle name="표_출장계획서_전장회장님보고자료_~0044114" xfId="1876" xr:uid="{00000000-0005-0000-0000-000071070000}"/>
    <cellStyle name="표_출장계획서_전장회장님보고자료_~0044114_Sheet1" xfId="1877" xr:uid="{00000000-0005-0000-0000-000072070000}"/>
    <cellStyle name="표_출장계획서_전장회장님보고자료_~0044114_토요(0317)" xfId="1878" xr:uid="{00000000-0005-0000-0000-000073070000}"/>
    <cellStyle name="표_출장계획서_전장회장님보고자료_~0044114_토요(0317)_Sheet1" xfId="1879" xr:uid="{00000000-0005-0000-0000-000074070000}"/>
    <cellStyle name="표_출장계획서_전장회장님보고자료_~0044114_토요(0317)_토요안건(0331)" xfId="1880" xr:uid="{00000000-0005-0000-0000-000075070000}"/>
    <cellStyle name="표_출장계획서_전장회장님보고자료_~0044114_토요(0317)_토요안건(0331)_Sheet1" xfId="1881" xr:uid="{00000000-0005-0000-0000-000076070000}"/>
    <cellStyle name="표_출장계획서_전장회장님보고자료_~0044114_토요안건(0316)" xfId="1882" xr:uid="{00000000-0005-0000-0000-000077070000}"/>
    <cellStyle name="표_출장계획서_전장회장님보고자료_~0044114_토요안건(0316)_Sheet1" xfId="1883" xr:uid="{00000000-0005-0000-0000-000078070000}"/>
    <cellStyle name="표_출장계획서_전장회장님보고자료_~0044114_토요안건(0316)_토요안건(0331)" xfId="1884" xr:uid="{00000000-0005-0000-0000-000079070000}"/>
    <cellStyle name="표_출장계획서_전장회장님보고자료_~0044114_토요안건(0316)_토요안건(0331)_Sheet1" xfId="1885" xr:uid="{00000000-0005-0000-0000-00007A070000}"/>
    <cellStyle name="표_출장계획서_전장회장님보고자료_Book2" xfId="1886" xr:uid="{00000000-0005-0000-0000-00007B070000}"/>
    <cellStyle name="표_출장계획서_전장회장님보고자료_Book2_Sheet1" xfId="1887" xr:uid="{00000000-0005-0000-0000-00007C070000}"/>
    <cellStyle name="표_출장계획서_전장회장님보고자료_Book2_토요(0317)" xfId="1888" xr:uid="{00000000-0005-0000-0000-00007D070000}"/>
    <cellStyle name="표_출장계획서_전장회장님보고자료_Book2_토요(0317)_Sheet1" xfId="1889" xr:uid="{00000000-0005-0000-0000-00007E070000}"/>
    <cellStyle name="표_출장계획서_전장회장님보고자료_Book2_토요(0317)_토요안건(0331)" xfId="1890" xr:uid="{00000000-0005-0000-0000-00007F070000}"/>
    <cellStyle name="표_출장계획서_전장회장님보고자료_Book2_토요(0317)_토요안건(0331)_Sheet1" xfId="1891" xr:uid="{00000000-0005-0000-0000-000080070000}"/>
    <cellStyle name="표_출장계획서_전장회장님보고자료_Book2_토요안건(0316)" xfId="1892" xr:uid="{00000000-0005-0000-0000-000081070000}"/>
    <cellStyle name="표_출장계획서_전장회장님보고자료_Book2_토요안건(0316)_Sheet1" xfId="1893" xr:uid="{00000000-0005-0000-0000-000082070000}"/>
    <cellStyle name="표_출장계획서_전장회장님보고자료_Book2_토요안건(0316)_토요안건(0331)" xfId="1894" xr:uid="{00000000-0005-0000-0000-000083070000}"/>
    <cellStyle name="표_출장계획서_전장회장님보고자료_Book2_토요안건(0316)_토요안건(0331)_Sheet1" xfId="1895" xr:uid="{00000000-0005-0000-0000-000084070000}"/>
    <cellStyle name="표_출장계획서_전장회장님보고자료_Sheet1" xfId="1896" xr:uid="{00000000-0005-0000-0000-000085070000}"/>
    <cellStyle name="표_출장계획서_전장회장님보고자료_토요(0317)" xfId="1897" xr:uid="{00000000-0005-0000-0000-000086070000}"/>
    <cellStyle name="표_출장계획서_전장회장님보고자료_토요(0317)_Sheet1" xfId="1898" xr:uid="{00000000-0005-0000-0000-000087070000}"/>
    <cellStyle name="표_출장계획서_전장회장님보고자료_토요(0317)_토요안건(0331)" xfId="1899" xr:uid="{00000000-0005-0000-0000-000088070000}"/>
    <cellStyle name="표_출장계획서_전장회장님보고자료_토요(0317)_토요안건(0331)_Sheet1" xfId="1900" xr:uid="{00000000-0005-0000-0000-000089070000}"/>
    <cellStyle name="표_출장계획서_전장회장님보고자료_토요안건(0316)" xfId="1901" xr:uid="{00000000-0005-0000-0000-00008A070000}"/>
    <cellStyle name="표_출장계획서_전장회장님보고자료_토요안건(0316)_Sheet1" xfId="1902" xr:uid="{00000000-0005-0000-0000-00008B070000}"/>
    <cellStyle name="표_출장계획서_전장회장님보고자료_토요안건(0316)_토요안건(0331)" xfId="1903" xr:uid="{00000000-0005-0000-0000-00008C070000}"/>
    <cellStyle name="표_출장계획서_전장회장님보고자료_토요안건(0316)_토요안건(0331)_Sheet1" xfId="1904" xr:uid="{00000000-0005-0000-0000-00008D070000}"/>
    <cellStyle name="표_출장계획서_토요(0317)" xfId="1905" xr:uid="{00000000-0005-0000-0000-00008E070000}"/>
    <cellStyle name="표_출장계획서_토요(0317)_Sheet1" xfId="1906" xr:uid="{00000000-0005-0000-0000-00008F070000}"/>
    <cellStyle name="표_출장계획서_토요(0317)_토요안건(0331)" xfId="1907" xr:uid="{00000000-0005-0000-0000-000090070000}"/>
    <cellStyle name="표_출장계획서_토요(0317)_토요안건(0331)_Sheet1" xfId="1908" xr:uid="{00000000-0005-0000-0000-000091070000}"/>
    <cellStyle name="표_출장계획서_토요안건(0316)" xfId="1909" xr:uid="{00000000-0005-0000-0000-000092070000}"/>
    <cellStyle name="표_출장계획서_토요안건(0316)_Sheet1" xfId="1910" xr:uid="{00000000-0005-0000-0000-000093070000}"/>
    <cellStyle name="표_출장계획서_토요안건(0316)_토요안건(0331)" xfId="1911" xr:uid="{00000000-0005-0000-0000-000094070000}"/>
    <cellStyle name="표_출장계획서_토요안건(0316)_토요안건(0331)_Sheet1" xfId="1912" xr:uid="{00000000-0005-0000-0000-000095070000}"/>
    <cellStyle name="표_현안과제QIR4(rio)" xfId="1913" xr:uid="{00000000-0005-0000-0000-000096070000}"/>
    <cellStyle name="표_현안과제QIR4(rio)_~0044114" xfId="1914" xr:uid="{00000000-0005-0000-0000-000097070000}"/>
    <cellStyle name="표_현안과제QIR4(rio)_~0044114_Sheet1" xfId="1915" xr:uid="{00000000-0005-0000-0000-000098070000}"/>
    <cellStyle name="표_현안과제QIR4(rio)_~0044114_토요(0317)" xfId="1916" xr:uid="{00000000-0005-0000-0000-000099070000}"/>
    <cellStyle name="표_현안과제QIR4(rio)_~0044114_토요(0317)_Sheet1" xfId="1917" xr:uid="{00000000-0005-0000-0000-00009A070000}"/>
    <cellStyle name="표_현안과제QIR4(rio)_~0044114_토요(0317)_토요안건(0331)" xfId="1918" xr:uid="{00000000-0005-0000-0000-00009B070000}"/>
    <cellStyle name="표_현안과제QIR4(rio)_~0044114_토요(0317)_토요안건(0331)_Sheet1" xfId="1919" xr:uid="{00000000-0005-0000-0000-00009C070000}"/>
    <cellStyle name="표_현안과제QIR4(rio)_~0044114_토요안건(0316)" xfId="1920" xr:uid="{00000000-0005-0000-0000-00009D070000}"/>
    <cellStyle name="표_현안과제QIR4(rio)_~0044114_토요안건(0316)_Sheet1" xfId="1921" xr:uid="{00000000-0005-0000-0000-00009E070000}"/>
    <cellStyle name="표_현안과제QIR4(rio)_~0044114_토요안건(0316)_토요안건(0331)" xfId="1922" xr:uid="{00000000-0005-0000-0000-00009F070000}"/>
    <cellStyle name="표_현안과제QIR4(rio)_~0044114_토요안건(0316)_토요안건(0331)_Sheet1" xfId="1923" xr:uid="{00000000-0005-0000-0000-0000A0070000}"/>
    <cellStyle name="표_현안과제QIR4(rio)_Book2" xfId="1924" xr:uid="{00000000-0005-0000-0000-0000A1070000}"/>
    <cellStyle name="표_현안과제QIR4(rio)_Book2_Sheet1" xfId="1925" xr:uid="{00000000-0005-0000-0000-0000A2070000}"/>
    <cellStyle name="표_현안과제QIR4(rio)_Book2_토요(0317)" xfId="1926" xr:uid="{00000000-0005-0000-0000-0000A3070000}"/>
    <cellStyle name="표_현안과제QIR4(rio)_Book2_토요(0317)_Sheet1" xfId="1927" xr:uid="{00000000-0005-0000-0000-0000A4070000}"/>
    <cellStyle name="표_현안과제QIR4(rio)_Book2_토요(0317)_토요안건(0331)" xfId="1928" xr:uid="{00000000-0005-0000-0000-0000A5070000}"/>
    <cellStyle name="표_현안과제QIR4(rio)_Book2_토요(0317)_토요안건(0331)_Sheet1" xfId="1929" xr:uid="{00000000-0005-0000-0000-0000A6070000}"/>
    <cellStyle name="표_현안과제QIR4(rio)_Book2_토요안건(0316)" xfId="1930" xr:uid="{00000000-0005-0000-0000-0000A7070000}"/>
    <cellStyle name="표_현안과제QIR4(rio)_Book2_토요안건(0316)_Sheet1" xfId="1931" xr:uid="{00000000-0005-0000-0000-0000A8070000}"/>
    <cellStyle name="표_현안과제QIR4(rio)_Book2_토요안건(0316)_토요안건(0331)" xfId="1932" xr:uid="{00000000-0005-0000-0000-0000A9070000}"/>
    <cellStyle name="표_현안과제QIR4(rio)_Book2_토요안건(0316)_토요안건(0331)_Sheet1" xfId="1933" xr:uid="{00000000-0005-0000-0000-0000AA070000}"/>
    <cellStyle name="표_현안과제QIR4(rio)_Sheet1" xfId="1934" xr:uid="{00000000-0005-0000-0000-0000AB070000}"/>
    <cellStyle name="표_현안과제QIR4(rio)_신전장기능성품질문제점보고0315" xfId="1935" xr:uid="{00000000-0005-0000-0000-0000AC070000}"/>
    <cellStyle name="표_현안과제QIR4(rio)_신전장기능성품질문제점보고0315_~0044114" xfId="1936" xr:uid="{00000000-0005-0000-0000-0000AD070000}"/>
    <cellStyle name="표_현안과제QIR4(rio)_신전장기능성품질문제점보고0315_~0044114_Sheet1" xfId="1937" xr:uid="{00000000-0005-0000-0000-0000AE070000}"/>
    <cellStyle name="표_현안과제QIR4(rio)_신전장기능성품질문제점보고0315_~0044114_토요(0317)" xfId="1938" xr:uid="{00000000-0005-0000-0000-0000AF070000}"/>
    <cellStyle name="표_현안과제QIR4(rio)_신전장기능성품질문제점보고0315_~0044114_토요(0317)_Sheet1" xfId="1939" xr:uid="{00000000-0005-0000-0000-0000B0070000}"/>
    <cellStyle name="표_현안과제QIR4(rio)_신전장기능성품질문제점보고0315_~0044114_토요(0317)_토요안건(0331)" xfId="1940" xr:uid="{00000000-0005-0000-0000-0000B1070000}"/>
    <cellStyle name="표_현안과제QIR4(rio)_신전장기능성품질문제점보고0315_~0044114_토요(0317)_토요안건(0331)_Sheet1" xfId="1941" xr:uid="{00000000-0005-0000-0000-0000B2070000}"/>
    <cellStyle name="표_현안과제QIR4(rio)_신전장기능성품질문제점보고0315_~0044114_토요안건(0316)" xfId="1942" xr:uid="{00000000-0005-0000-0000-0000B3070000}"/>
    <cellStyle name="표_현안과제QIR4(rio)_신전장기능성품질문제점보고0315_~0044114_토요안건(0316)_Sheet1" xfId="1943" xr:uid="{00000000-0005-0000-0000-0000B4070000}"/>
    <cellStyle name="표_현안과제QIR4(rio)_신전장기능성품질문제점보고0315_~0044114_토요안건(0316)_토요안건(0331)" xfId="1944" xr:uid="{00000000-0005-0000-0000-0000B5070000}"/>
    <cellStyle name="표_현안과제QIR4(rio)_신전장기능성품질문제점보고0315_~0044114_토요안건(0316)_토요안건(0331)_Sheet1" xfId="1945" xr:uid="{00000000-0005-0000-0000-0000B6070000}"/>
    <cellStyle name="표_현안과제QIR4(rio)_신전장기능성품질문제점보고0315_Book2" xfId="1946" xr:uid="{00000000-0005-0000-0000-0000B7070000}"/>
    <cellStyle name="표_현안과제QIR4(rio)_신전장기능성품질문제점보고0315_Book2_Sheet1" xfId="1947" xr:uid="{00000000-0005-0000-0000-0000B8070000}"/>
    <cellStyle name="표_현안과제QIR4(rio)_신전장기능성품질문제점보고0315_Book2_토요(0317)" xfId="1948" xr:uid="{00000000-0005-0000-0000-0000B9070000}"/>
    <cellStyle name="표_현안과제QIR4(rio)_신전장기능성품질문제점보고0315_Book2_토요(0317)_Sheet1" xfId="1949" xr:uid="{00000000-0005-0000-0000-0000BA070000}"/>
    <cellStyle name="표_현안과제QIR4(rio)_신전장기능성품질문제점보고0315_Book2_토요(0317)_토요안건(0331)" xfId="1950" xr:uid="{00000000-0005-0000-0000-0000BB070000}"/>
    <cellStyle name="표_현안과제QIR4(rio)_신전장기능성품질문제점보고0315_Book2_토요(0317)_토요안건(0331)_Sheet1" xfId="1951" xr:uid="{00000000-0005-0000-0000-0000BC070000}"/>
    <cellStyle name="표_현안과제QIR4(rio)_신전장기능성품질문제점보고0315_Book2_토요안건(0316)" xfId="1952" xr:uid="{00000000-0005-0000-0000-0000BD070000}"/>
    <cellStyle name="표_현안과제QIR4(rio)_신전장기능성품질문제점보고0315_Book2_토요안건(0316)_Sheet1" xfId="1953" xr:uid="{00000000-0005-0000-0000-0000BE070000}"/>
    <cellStyle name="표_현안과제QIR4(rio)_신전장기능성품질문제점보고0315_Book2_토요안건(0316)_토요안건(0331)" xfId="1954" xr:uid="{00000000-0005-0000-0000-0000BF070000}"/>
    <cellStyle name="표_현안과제QIR4(rio)_신전장기능성품질문제점보고0315_Book2_토요안건(0316)_토요안건(0331)_Sheet1" xfId="1955" xr:uid="{00000000-0005-0000-0000-0000C0070000}"/>
    <cellStyle name="표_현안과제QIR4(rio)_신전장기능성품질문제점보고0315_Sheet1" xfId="1956" xr:uid="{00000000-0005-0000-0000-0000C1070000}"/>
    <cellStyle name="표_현안과제QIR4(rio)_신전장기능성품질문제점보고0315_토요(0317)" xfId="1957" xr:uid="{00000000-0005-0000-0000-0000C2070000}"/>
    <cellStyle name="표_현안과제QIR4(rio)_신전장기능성품질문제점보고0315_토요(0317)_Sheet1" xfId="1958" xr:uid="{00000000-0005-0000-0000-0000C3070000}"/>
    <cellStyle name="표_현안과제QIR4(rio)_신전장기능성품질문제점보고0315_토요(0317)_토요안건(0331)" xfId="1959" xr:uid="{00000000-0005-0000-0000-0000C4070000}"/>
    <cellStyle name="표_현안과제QIR4(rio)_신전장기능성품질문제점보고0315_토요(0317)_토요안건(0331)_Sheet1" xfId="1960" xr:uid="{00000000-0005-0000-0000-0000C5070000}"/>
    <cellStyle name="표_현안과제QIR4(rio)_신전장기능성품질문제점보고0315_토요안건(0316)" xfId="1961" xr:uid="{00000000-0005-0000-0000-0000C6070000}"/>
    <cellStyle name="표_현안과제QIR4(rio)_신전장기능성품질문제점보고0315_토요안건(0316)_Sheet1" xfId="1962" xr:uid="{00000000-0005-0000-0000-0000C7070000}"/>
    <cellStyle name="표_현안과제QIR4(rio)_신전장기능성품질문제점보고0315_토요안건(0316)_토요안건(0331)" xfId="1963" xr:uid="{00000000-0005-0000-0000-0000C8070000}"/>
    <cellStyle name="표_현안과제QIR4(rio)_신전장기능성품질문제점보고0315_토요안건(0316)_토요안건(0331)_Sheet1" xfId="1964" xr:uid="{00000000-0005-0000-0000-0000C9070000}"/>
    <cellStyle name="표_현안과제QIR4(rio)_전장기능성품질문제점진척보고" xfId="1965" xr:uid="{00000000-0005-0000-0000-0000CA070000}"/>
    <cellStyle name="표_현안과제QIR4(rio)_전장기능성품질문제점진척보고_~0044114" xfId="1966" xr:uid="{00000000-0005-0000-0000-0000CB070000}"/>
    <cellStyle name="표_현안과제QIR4(rio)_전장기능성품질문제점진척보고_~0044114_Sheet1" xfId="1967" xr:uid="{00000000-0005-0000-0000-0000CC070000}"/>
    <cellStyle name="표_현안과제QIR4(rio)_전장기능성품질문제점진척보고_~0044114_토요(0317)" xfId="1968" xr:uid="{00000000-0005-0000-0000-0000CD070000}"/>
    <cellStyle name="표_현안과제QIR4(rio)_전장기능성품질문제점진척보고_~0044114_토요(0317)_Sheet1" xfId="1969" xr:uid="{00000000-0005-0000-0000-0000CE070000}"/>
    <cellStyle name="표_현안과제QIR4(rio)_전장기능성품질문제점진척보고_~0044114_토요(0317)_토요안건(0331)" xfId="1970" xr:uid="{00000000-0005-0000-0000-0000CF070000}"/>
    <cellStyle name="표_현안과제QIR4(rio)_전장기능성품질문제점진척보고_~0044114_토요(0317)_토요안건(0331)_Sheet1" xfId="1971" xr:uid="{00000000-0005-0000-0000-0000D0070000}"/>
    <cellStyle name="표_현안과제QIR4(rio)_전장기능성품질문제점진척보고_~0044114_토요안건(0316)" xfId="1972" xr:uid="{00000000-0005-0000-0000-0000D1070000}"/>
    <cellStyle name="표_현안과제QIR4(rio)_전장기능성품질문제점진척보고_~0044114_토요안건(0316)_Sheet1" xfId="1973" xr:uid="{00000000-0005-0000-0000-0000D2070000}"/>
    <cellStyle name="표_현안과제QIR4(rio)_전장기능성품질문제점진척보고_~0044114_토요안건(0316)_토요안건(0331)" xfId="1974" xr:uid="{00000000-0005-0000-0000-0000D3070000}"/>
    <cellStyle name="표_현안과제QIR4(rio)_전장기능성품질문제점진척보고_~0044114_토요안건(0316)_토요안건(0331)_Sheet1" xfId="1975" xr:uid="{00000000-0005-0000-0000-0000D4070000}"/>
    <cellStyle name="표_현안과제QIR4(rio)_전장기능성품질문제점진척보고_Book2" xfId="1976" xr:uid="{00000000-0005-0000-0000-0000D5070000}"/>
    <cellStyle name="표_현안과제QIR4(rio)_전장기능성품질문제점진척보고_Book2_Sheet1" xfId="1977" xr:uid="{00000000-0005-0000-0000-0000D6070000}"/>
    <cellStyle name="표_현안과제QIR4(rio)_전장기능성품질문제점진척보고_Book2_토요(0317)" xfId="1978" xr:uid="{00000000-0005-0000-0000-0000D7070000}"/>
    <cellStyle name="표_현안과제QIR4(rio)_전장기능성품질문제점진척보고_Book2_토요(0317)_Sheet1" xfId="1979" xr:uid="{00000000-0005-0000-0000-0000D8070000}"/>
    <cellStyle name="표_현안과제QIR4(rio)_전장기능성품질문제점진척보고_Book2_토요(0317)_토요안건(0331)" xfId="1980" xr:uid="{00000000-0005-0000-0000-0000D9070000}"/>
    <cellStyle name="표_현안과제QIR4(rio)_전장기능성품질문제점진척보고_Book2_토요(0317)_토요안건(0331)_Sheet1" xfId="1981" xr:uid="{00000000-0005-0000-0000-0000DA070000}"/>
    <cellStyle name="표_현안과제QIR4(rio)_전장기능성품질문제점진척보고_Book2_토요안건(0316)" xfId="1982" xr:uid="{00000000-0005-0000-0000-0000DB070000}"/>
    <cellStyle name="표_현안과제QIR4(rio)_전장기능성품질문제점진척보고_Book2_토요안건(0316)_Sheet1" xfId="1983" xr:uid="{00000000-0005-0000-0000-0000DC070000}"/>
    <cellStyle name="표_현안과제QIR4(rio)_전장기능성품질문제점진척보고_Book2_토요안건(0316)_토요안건(0331)" xfId="1984" xr:uid="{00000000-0005-0000-0000-0000DD070000}"/>
    <cellStyle name="표_현안과제QIR4(rio)_전장기능성품질문제점진척보고_Book2_토요안건(0316)_토요안건(0331)_Sheet1" xfId="1985" xr:uid="{00000000-0005-0000-0000-0000DE070000}"/>
    <cellStyle name="표_현안과제QIR4(rio)_전장기능성품질문제점진척보고_Sheet1" xfId="1986" xr:uid="{00000000-0005-0000-0000-0000DF070000}"/>
    <cellStyle name="표_현안과제QIR4(rio)_전장기능성품질문제점진척보고_토요(0317)" xfId="1987" xr:uid="{00000000-0005-0000-0000-0000E0070000}"/>
    <cellStyle name="표_현안과제QIR4(rio)_전장기능성품질문제점진척보고_토요(0317)_Sheet1" xfId="1988" xr:uid="{00000000-0005-0000-0000-0000E1070000}"/>
    <cellStyle name="표_현안과제QIR4(rio)_전장기능성품질문제점진척보고_토요(0317)_토요안건(0331)" xfId="1989" xr:uid="{00000000-0005-0000-0000-0000E2070000}"/>
    <cellStyle name="표_현안과제QIR4(rio)_전장기능성품질문제점진척보고_토요(0317)_토요안건(0331)_Sheet1" xfId="1990" xr:uid="{00000000-0005-0000-0000-0000E3070000}"/>
    <cellStyle name="표_현안과제QIR4(rio)_전장기능성품질문제점진척보고_토요안건(0316)" xfId="1991" xr:uid="{00000000-0005-0000-0000-0000E4070000}"/>
    <cellStyle name="표_현안과제QIR4(rio)_전장기능성품질문제점진척보고_토요안건(0316)_Sheet1" xfId="1992" xr:uid="{00000000-0005-0000-0000-0000E5070000}"/>
    <cellStyle name="표_현안과제QIR4(rio)_전장기능성품질문제점진척보고_토요안건(0316)_토요안건(0331)" xfId="1993" xr:uid="{00000000-0005-0000-0000-0000E6070000}"/>
    <cellStyle name="표_현안과제QIR4(rio)_전장기능성품질문제점진척보고_토요안건(0316)_토요안건(0331)_Sheet1" xfId="1994" xr:uid="{00000000-0005-0000-0000-0000E7070000}"/>
    <cellStyle name="표_현안과제QIR4(rio)_전장회장님보고자료" xfId="1995" xr:uid="{00000000-0005-0000-0000-0000E8070000}"/>
    <cellStyle name="표_현안과제QIR4(rio)_전장회장님보고자료_~0044114" xfId="1996" xr:uid="{00000000-0005-0000-0000-0000E9070000}"/>
    <cellStyle name="표_현안과제QIR4(rio)_전장회장님보고자료_~0044114_Sheet1" xfId="1997" xr:uid="{00000000-0005-0000-0000-0000EA070000}"/>
    <cellStyle name="표_현안과제QIR4(rio)_전장회장님보고자료_~0044114_토요(0317)" xfId="1998" xr:uid="{00000000-0005-0000-0000-0000EB070000}"/>
    <cellStyle name="표_현안과제QIR4(rio)_전장회장님보고자료_~0044114_토요(0317)_Sheet1" xfId="1999" xr:uid="{00000000-0005-0000-0000-0000EC070000}"/>
    <cellStyle name="표_현안과제QIR4(rio)_전장회장님보고자료_~0044114_토요(0317)_토요안건(0331)" xfId="2000" xr:uid="{00000000-0005-0000-0000-0000ED070000}"/>
    <cellStyle name="표_현안과제QIR4(rio)_전장회장님보고자료_~0044114_토요(0317)_토요안건(0331)_Sheet1" xfId="2001" xr:uid="{00000000-0005-0000-0000-0000EE070000}"/>
    <cellStyle name="표_현안과제QIR4(rio)_전장회장님보고자료_~0044114_토요안건(0316)" xfId="2002" xr:uid="{00000000-0005-0000-0000-0000EF070000}"/>
    <cellStyle name="표_현안과제QIR4(rio)_전장회장님보고자료_~0044114_토요안건(0316)_Sheet1" xfId="2003" xr:uid="{00000000-0005-0000-0000-0000F0070000}"/>
    <cellStyle name="표_현안과제QIR4(rio)_전장회장님보고자료_~0044114_토요안건(0316)_토요안건(0331)" xfId="2004" xr:uid="{00000000-0005-0000-0000-0000F1070000}"/>
    <cellStyle name="표_현안과제QIR4(rio)_전장회장님보고자료_~0044114_토요안건(0316)_토요안건(0331)_Sheet1" xfId="2005" xr:uid="{00000000-0005-0000-0000-0000F2070000}"/>
    <cellStyle name="표_현안과제QIR4(rio)_전장회장님보고자료_Book2" xfId="2006" xr:uid="{00000000-0005-0000-0000-0000F3070000}"/>
    <cellStyle name="표_현안과제QIR4(rio)_전장회장님보고자료_Book2_Sheet1" xfId="2007" xr:uid="{00000000-0005-0000-0000-0000F4070000}"/>
    <cellStyle name="표_현안과제QIR4(rio)_전장회장님보고자료_Book2_토요(0317)" xfId="2008" xr:uid="{00000000-0005-0000-0000-0000F5070000}"/>
    <cellStyle name="표_현안과제QIR4(rio)_전장회장님보고자료_Book2_토요(0317)_Sheet1" xfId="2009" xr:uid="{00000000-0005-0000-0000-0000F6070000}"/>
    <cellStyle name="표_현안과제QIR4(rio)_전장회장님보고자료_Book2_토요(0317)_토요안건(0331)" xfId="2010" xr:uid="{00000000-0005-0000-0000-0000F7070000}"/>
    <cellStyle name="표_현안과제QIR4(rio)_전장회장님보고자료_Book2_토요(0317)_토요안건(0331)_Sheet1" xfId="2011" xr:uid="{00000000-0005-0000-0000-0000F8070000}"/>
    <cellStyle name="표_현안과제QIR4(rio)_전장회장님보고자료_Book2_토요안건(0316)" xfId="2012" xr:uid="{00000000-0005-0000-0000-0000F9070000}"/>
    <cellStyle name="표_현안과제QIR4(rio)_전장회장님보고자료_Book2_토요안건(0316)_Sheet1" xfId="2013" xr:uid="{00000000-0005-0000-0000-0000FA070000}"/>
    <cellStyle name="표_현안과제QIR4(rio)_전장회장님보고자료_Book2_토요안건(0316)_토요안건(0331)" xfId="2014" xr:uid="{00000000-0005-0000-0000-0000FB070000}"/>
    <cellStyle name="표_현안과제QIR4(rio)_전장회장님보고자료_Book2_토요안건(0316)_토요안건(0331)_Sheet1" xfId="2015" xr:uid="{00000000-0005-0000-0000-0000FC070000}"/>
    <cellStyle name="표_현안과제QIR4(rio)_전장회장님보고자료_Sheet1" xfId="2016" xr:uid="{00000000-0005-0000-0000-0000FD070000}"/>
    <cellStyle name="표_현안과제QIR4(rio)_전장회장님보고자료_토요(0317)" xfId="2017" xr:uid="{00000000-0005-0000-0000-0000FE070000}"/>
    <cellStyle name="표_현안과제QIR4(rio)_전장회장님보고자료_토요(0317)_Sheet1" xfId="2018" xr:uid="{00000000-0005-0000-0000-0000FF070000}"/>
    <cellStyle name="표_현안과제QIR4(rio)_전장회장님보고자료_토요(0317)_토요안건(0331)" xfId="2019" xr:uid="{00000000-0005-0000-0000-000000080000}"/>
    <cellStyle name="표_현안과제QIR4(rio)_전장회장님보고자료_토요(0317)_토요안건(0331)_Sheet1" xfId="2020" xr:uid="{00000000-0005-0000-0000-000001080000}"/>
    <cellStyle name="표_현안과제QIR4(rio)_전장회장님보고자료_토요안건(0316)" xfId="2021" xr:uid="{00000000-0005-0000-0000-000002080000}"/>
    <cellStyle name="표_현안과제QIR4(rio)_전장회장님보고자료_토요안건(0316)_Sheet1" xfId="2022" xr:uid="{00000000-0005-0000-0000-000003080000}"/>
    <cellStyle name="표_현안과제QIR4(rio)_전장회장님보고자료_토요안건(0316)_토요안건(0331)" xfId="2023" xr:uid="{00000000-0005-0000-0000-000004080000}"/>
    <cellStyle name="표_현안과제QIR4(rio)_전장회장님보고자료_토요안건(0316)_토요안건(0331)_Sheet1" xfId="2024" xr:uid="{00000000-0005-0000-0000-000005080000}"/>
    <cellStyle name="표_현안과제QIR4(rio)_토요(0317)" xfId="2025" xr:uid="{00000000-0005-0000-0000-000006080000}"/>
    <cellStyle name="표_현안과제QIR4(rio)_토요(0317)_Sheet1" xfId="2026" xr:uid="{00000000-0005-0000-0000-000007080000}"/>
    <cellStyle name="표_현안과제QIR4(rio)_토요(0317)_토요안건(0331)" xfId="2027" xr:uid="{00000000-0005-0000-0000-000008080000}"/>
    <cellStyle name="표_현안과제QIR4(rio)_토요(0317)_토요안건(0331)_Sheet1" xfId="2028" xr:uid="{00000000-0005-0000-0000-000009080000}"/>
    <cellStyle name="표_현안과제QIR4(rio)_토요안건(0316)" xfId="2029" xr:uid="{00000000-0005-0000-0000-00000A080000}"/>
    <cellStyle name="표_현안과제QIR4(rio)_토요안건(0316)_Sheet1" xfId="2030" xr:uid="{00000000-0005-0000-0000-00000B080000}"/>
    <cellStyle name="표_현안과제QIR4(rio)_토요안건(0316)_토요안건(0331)" xfId="2031" xr:uid="{00000000-0005-0000-0000-00000C080000}"/>
    <cellStyle name="표_현안과제QIR4(rio)_토요안건(0316)_토요안건(0331)_Sheet1" xfId="2032" xr:uid="{00000000-0005-0000-0000-00000D080000}"/>
    <cellStyle name="표준 10" xfId="2115" xr:uid="{00000000-0005-0000-0000-00000E080000}"/>
    <cellStyle name="표준 2" xfId="2033" xr:uid="{00000000-0005-0000-0000-00000F080000}"/>
    <cellStyle name="표준 3" xfId="2034" xr:uid="{00000000-0005-0000-0000-000010080000}"/>
    <cellStyle name="표준 7" xfId="2035" xr:uid="{00000000-0005-0000-0000-000011080000}"/>
    <cellStyle name="표준_(정보부문)월별인원계획" xfId="2036" xr:uid="{00000000-0005-0000-0000-000012080000}"/>
    <cellStyle name="퓭닉_ㅶA??絡 " xfId="2037" xr:uid="{00000000-0005-0000-0000-000013080000}"/>
    <cellStyle name="합산_V-200제작추진 " xfId="2038" xr:uid="{00000000-0005-0000-0000-000014080000}"/>
    <cellStyle name="화폐기호_7월31기준(+BPN)_7월실적 (누적bpn) " xfId="2039" xr:uid="{00000000-0005-0000-0000-000015080000}"/>
    <cellStyle name="화폐기호0_미승인양식 " xfId="2040" xr:uid="{00000000-0005-0000-0000-000016080000}"/>
    <cellStyle name="회비" xfId="2041" xr:uid="{00000000-0005-0000-0000-000017080000}"/>
    <cellStyle name="一般_00Q3902REV.1" xfId="2042" xr:uid="{00000000-0005-0000-0000-000018080000}"/>
    <cellStyle name="中等" xfId="2043" xr:uid="{00000000-0005-0000-0000-000019080000}"/>
    <cellStyle name="備註" xfId="2044" xr:uid="{00000000-0005-0000-0000-00001A080000}"/>
    <cellStyle name="千分位[0]_00Q3902REV.1" xfId="2045" xr:uid="{00000000-0005-0000-0000-00001B080000}"/>
    <cellStyle name="千分位_00Q3902REV.1" xfId="2046" xr:uid="{00000000-0005-0000-0000-00001C080000}"/>
    <cellStyle name="合計" xfId="2047" xr:uid="{00000000-0005-0000-0000-00001D080000}"/>
    <cellStyle name="壞" xfId="2048" xr:uid="{00000000-0005-0000-0000-00001E080000}"/>
    <cellStyle name="好" xfId="2049" xr:uid="{00000000-0005-0000-0000-00001F080000}"/>
    <cellStyle name="好_FOTON BEN-08" xfId="2050" xr:uid="{00000000-0005-0000-0000-000020080000}"/>
    <cellStyle name="好_THCT XE 1.5 TAI HD 111" xfId="2051" xr:uid="{00000000-0005-0000-0000-000021080000}"/>
    <cellStyle name="好_X DONG THUNG" xfId="2052" xr:uid="{00000000-0005-0000-0000-000022080000}"/>
    <cellStyle name="好_XUAT THANG 9" xfId="2053" xr:uid="{00000000-0005-0000-0000-000023080000}"/>
    <cellStyle name="差" xfId="2054" xr:uid="{00000000-0005-0000-0000-000024080000}"/>
    <cellStyle name="差_THCT XE 1.5 TAI HD 111" xfId="2055" xr:uid="{00000000-0005-0000-0000-000025080000}"/>
    <cellStyle name="常规_02清单" xfId="2056" xr:uid="{00000000-0005-0000-0000-000026080000}"/>
    <cellStyle name="强调文字颜色 1" xfId="2057" xr:uid="{00000000-0005-0000-0000-000027080000}"/>
    <cellStyle name="强调文字颜色 2" xfId="2058" xr:uid="{00000000-0005-0000-0000-000028080000}"/>
    <cellStyle name="强调文字颜色 3" xfId="2059" xr:uid="{00000000-0005-0000-0000-000029080000}"/>
    <cellStyle name="强调文字颜色 4" xfId="2060" xr:uid="{00000000-0005-0000-0000-00002A080000}"/>
    <cellStyle name="强调文字颜色 5" xfId="2061" xr:uid="{00000000-0005-0000-0000-00002B080000}"/>
    <cellStyle name="强调文字颜色 6" xfId="2062" xr:uid="{00000000-0005-0000-0000-00002C080000}"/>
    <cellStyle name="标题" xfId="2063" xr:uid="{00000000-0005-0000-0000-00002D080000}"/>
    <cellStyle name="标题 1" xfId="2064" xr:uid="{00000000-0005-0000-0000-00002E080000}"/>
    <cellStyle name="标题 2" xfId="2065" xr:uid="{00000000-0005-0000-0000-00002F080000}"/>
    <cellStyle name="标题 3" xfId="2066" xr:uid="{00000000-0005-0000-0000-000030080000}"/>
    <cellStyle name="标题 4" xfId="2067" xr:uid="{00000000-0005-0000-0000-000031080000}"/>
    <cellStyle name="标题_THCT XE 1.5 TAI HD 111" xfId="2068" xr:uid="{00000000-0005-0000-0000-000032080000}"/>
    <cellStyle name="样式 1" xfId="2069" xr:uid="{00000000-0005-0000-0000-000033080000}"/>
    <cellStyle name="桁区切り [0.00]_Book1" xfId="2070" xr:uid="{00000000-0005-0000-0000-000034080000}"/>
    <cellStyle name="桁区切り_Book1" xfId="2071" xr:uid="{00000000-0005-0000-0000-000035080000}"/>
    <cellStyle name="检查单元格" xfId="2072" xr:uid="{00000000-0005-0000-0000-000036080000}"/>
    <cellStyle name="標準_Book1" xfId="2073" xr:uid="{00000000-0005-0000-0000-000037080000}"/>
    <cellStyle name="標題" xfId="2074" xr:uid="{00000000-0005-0000-0000-000038080000}"/>
    <cellStyle name="標題 1" xfId="2075" xr:uid="{00000000-0005-0000-0000-000039080000}"/>
    <cellStyle name="標題 2" xfId="2076" xr:uid="{00000000-0005-0000-0000-00003A080000}"/>
    <cellStyle name="標題 3" xfId="2077" xr:uid="{00000000-0005-0000-0000-00003B080000}"/>
    <cellStyle name="標題 4" xfId="2078" xr:uid="{00000000-0005-0000-0000-00003C080000}"/>
    <cellStyle name="檢查儲存格" xfId="2079" xr:uid="{00000000-0005-0000-0000-00003D080000}"/>
    <cellStyle name="汇总" xfId="2080" xr:uid="{00000000-0005-0000-0000-00003E080000}"/>
    <cellStyle name="注释" xfId="2081" xr:uid="{00000000-0005-0000-0000-00003F080000}"/>
    <cellStyle name="解释性文本" xfId="2082" xr:uid="{00000000-0005-0000-0000-000040080000}"/>
    <cellStyle name="計算方式" xfId="2083" xr:uid="{00000000-0005-0000-0000-000041080000}"/>
    <cellStyle name="說明文字" xfId="2084" xr:uid="{00000000-0005-0000-0000-000042080000}"/>
    <cellStyle name="警告文字" xfId="2085" xr:uid="{00000000-0005-0000-0000-000043080000}"/>
    <cellStyle name="警告文本" xfId="2086" xr:uid="{00000000-0005-0000-0000-000044080000}"/>
    <cellStyle name="计算" xfId="2087" xr:uid="{00000000-0005-0000-0000-000045080000}"/>
    <cellStyle name="貨幣 [0]_00Q3902REV.1" xfId="2088" xr:uid="{00000000-0005-0000-0000-000046080000}"/>
    <cellStyle name="貨幣[0]_BRE" xfId="2089" xr:uid="{00000000-0005-0000-0000-000047080000}"/>
    <cellStyle name="貨幣_00Q3902REV.1" xfId="2090" xr:uid="{00000000-0005-0000-0000-000048080000}"/>
    <cellStyle name="超連結_Book1" xfId="2091" xr:uid="{00000000-0005-0000-0000-000049080000}"/>
    <cellStyle name="輔色1" xfId="2092" xr:uid="{00000000-0005-0000-0000-00004A080000}"/>
    <cellStyle name="輔色2" xfId="2093" xr:uid="{00000000-0005-0000-0000-00004B080000}"/>
    <cellStyle name="輔色3" xfId="2094" xr:uid="{00000000-0005-0000-0000-00004C080000}"/>
    <cellStyle name="輔色4" xfId="2095" xr:uid="{00000000-0005-0000-0000-00004D080000}"/>
    <cellStyle name="輔色5" xfId="2096" xr:uid="{00000000-0005-0000-0000-00004E080000}"/>
    <cellStyle name="輔色6" xfId="2097" xr:uid="{00000000-0005-0000-0000-00004F080000}"/>
    <cellStyle name="輸入" xfId="2098" xr:uid="{00000000-0005-0000-0000-000050080000}"/>
    <cellStyle name="輸出" xfId="2099" xr:uid="{00000000-0005-0000-0000-000051080000}"/>
    <cellStyle name="输入" xfId="2100" xr:uid="{00000000-0005-0000-0000-000052080000}"/>
    <cellStyle name="输出" xfId="2101" xr:uid="{00000000-0005-0000-0000-000053080000}"/>
    <cellStyle name="适中" xfId="2102" xr:uid="{00000000-0005-0000-0000-000054080000}"/>
    <cellStyle name="通貨 [0.00]_Book1" xfId="2103" xr:uid="{00000000-0005-0000-0000-000055080000}"/>
    <cellStyle name="通貨_Book1" xfId="2104" xr:uid="{00000000-0005-0000-0000-000056080000}"/>
    <cellStyle name="連結的儲存格" xfId="2105" xr:uid="{00000000-0005-0000-0000-000057080000}"/>
    <cellStyle name="链接单元格" xfId="2106" xr:uid="{00000000-0005-0000-0000-000058080000}"/>
    <cellStyle name="隨後的超連結_Book1" xfId="2107" xr:uid="{00000000-0005-0000-0000-00005908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FFCC99"/>
      <color rgb="FFFF7C80"/>
      <color rgb="FFFF5050"/>
      <color rgb="FFCC99FF"/>
      <color rgb="FF9999FF"/>
      <color rgb="FF9966FF"/>
      <color rgb="FFEF9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498641</xdr:colOff>
      <xdr:row>37</xdr:row>
      <xdr:rowOff>122474</xdr:rowOff>
    </xdr:from>
    <xdr:to>
      <xdr:col>40</xdr:col>
      <xdr:colOff>2602482</xdr:colOff>
      <xdr:row>46</xdr:row>
      <xdr:rowOff>194320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731962" y="117266367"/>
          <a:ext cx="4934127" cy="2194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>
            <a:lnSpc>
              <a:spcPct val="100000"/>
            </a:lnSpc>
          </a:pPr>
          <a:r>
            <a:rPr lang="en-US" sz="1300" b="1" i="0">
              <a:latin typeface="Times New Roman" pitchFamily="18" charset="0"/>
              <a:cs typeface="Times New Roman" pitchFamily="18" charset="0"/>
            </a:rPr>
            <a:t>    Núi</a:t>
          </a:r>
          <a:r>
            <a:rPr lang="en-US" sz="1300" b="1" i="0" baseline="0">
              <a:latin typeface="Times New Roman" pitchFamily="18" charset="0"/>
              <a:cs typeface="Times New Roman" pitchFamily="18" charset="0"/>
            </a:rPr>
            <a:t> thành</a:t>
          </a:r>
          <a:r>
            <a:rPr lang="en-US" sz="1300" i="0" baseline="0">
              <a:latin typeface="Times New Roman" pitchFamily="18" charset="0"/>
              <a:cs typeface="Times New Roman" pitchFamily="18" charset="0"/>
            </a:rPr>
            <a:t>, ngày ....... tháng ....... năm 2021</a:t>
          </a:r>
        </a:p>
        <a:p>
          <a:pPr algn="ctr">
            <a:lnSpc>
              <a:spcPct val="100000"/>
            </a:lnSpc>
          </a:pPr>
          <a:r>
            <a:rPr lang="en-US" sz="1300" b="1" i="0" baseline="0">
              <a:latin typeface="Times New Roman" pitchFamily="18" charset="0"/>
              <a:cs typeface="Times New Roman" pitchFamily="18" charset="0"/>
            </a:rPr>
            <a:t>Người lập</a:t>
          </a:r>
        </a:p>
        <a:p>
          <a:pPr algn="ctr">
            <a:lnSpc>
              <a:spcPct val="100000"/>
            </a:lnSpc>
          </a:pPr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ct val="100000"/>
            </a:lnSpc>
          </a:pPr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ct val="100000"/>
            </a:lnSpc>
          </a:pPr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ct val="100000"/>
            </a:lnSpc>
          </a:pPr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ct val="100000"/>
            </a:lnSpc>
          </a:pPr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ct val="100000"/>
            </a:lnSpc>
          </a:pPr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ct val="100000"/>
            </a:lnSpc>
          </a:pPr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ct val="100000"/>
            </a:lnSpc>
          </a:pPr>
          <a:r>
            <a:rPr lang="en-US" sz="1300" b="1" i="0" baseline="0">
              <a:latin typeface="Times New Roman" pitchFamily="18" charset="0"/>
              <a:cs typeface="Times New Roman" pitchFamily="18" charset="0"/>
            </a:rPr>
            <a:t>Lê Tấn Vinh</a:t>
          </a:r>
        </a:p>
      </xdr:txBody>
    </xdr:sp>
    <xdr:clientData/>
  </xdr:twoCellAnchor>
  <xdr:twoCellAnchor>
    <xdr:from>
      <xdr:col>1</xdr:col>
      <xdr:colOff>258538</xdr:colOff>
      <xdr:row>37</xdr:row>
      <xdr:rowOff>113082</xdr:rowOff>
    </xdr:from>
    <xdr:to>
      <xdr:col>2</xdr:col>
      <xdr:colOff>1864175</xdr:colOff>
      <xdr:row>46</xdr:row>
      <xdr:rowOff>184928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43645" y="117256975"/>
          <a:ext cx="2449280" cy="2194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300" b="1" i="0" baseline="0">
              <a:latin typeface="Times New Roman" pitchFamily="18" charset="0"/>
              <a:cs typeface="Times New Roman" pitchFamily="18" charset="0"/>
            </a:rPr>
            <a:t>Duyệt</a:t>
          </a: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br>
            <a:rPr lang="en-US" sz="1300" b="1" i="0" baseline="0">
              <a:latin typeface="Times New Roman" pitchFamily="18" charset="0"/>
              <a:cs typeface="Times New Roman" pitchFamily="18" charset="0"/>
            </a:rPr>
          </a:br>
          <a:r>
            <a:rPr lang="en-US" sz="1300" b="1" i="0" baseline="0">
              <a:latin typeface="Times New Roman" pitchFamily="18" charset="0"/>
              <a:cs typeface="Times New Roman" pitchFamily="18" charset="0"/>
            </a:rPr>
            <a:t>Trần Đình Nhẫn</a:t>
          </a:r>
        </a:p>
      </xdr:txBody>
    </xdr:sp>
    <xdr:clientData/>
  </xdr:twoCellAnchor>
  <xdr:twoCellAnchor>
    <xdr:from>
      <xdr:col>10</xdr:col>
      <xdr:colOff>341291</xdr:colOff>
      <xdr:row>38</xdr:row>
      <xdr:rowOff>49515</xdr:rowOff>
    </xdr:from>
    <xdr:to>
      <xdr:col>14</xdr:col>
      <xdr:colOff>299091</xdr:colOff>
      <xdr:row>46</xdr:row>
      <xdr:rowOff>183409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335362" y="37972622"/>
          <a:ext cx="2434300" cy="2011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300" b="1" i="0" baseline="0">
              <a:latin typeface="Times New Roman" pitchFamily="18" charset="0"/>
              <a:cs typeface="Times New Roman" pitchFamily="18" charset="0"/>
            </a:rPr>
            <a:t>Kiểm tra 2</a:t>
          </a: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300" b="1" i="0" baseline="0">
              <a:latin typeface="Times New Roman" pitchFamily="18" charset="0"/>
              <a:cs typeface="Times New Roman" pitchFamily="18" charset="0"/>
            </a:rPr>
            <a:t>Nguyễn Trọng Quý</a:t>
          </a:r>
        </a:p>
      </xdr:txBody>
    </xdr:sp>
    <xdr:clientData/>
  </xdr:twoCellAnchor>
  <xdr:twoCellAnchor>
    <xdr:from>
      <xdr:col>22</xdr:col>
      <xdr:colOff>27214</xdr:colOff>
      <xdr:row>38</xdr:row>
      <xdr:rowOff>68037</xdr:rowOff>
    </xdr:from>
    <xdr:to>
      <xdr:col>28</xdr:col>
      <xdr:colOff>489856</xdr:colOff>
      <xdr:row>46</xdr:row>
      <xdr:rowOff>201931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423321" y="117456858"/>
          <a:ext cx="3020785" cy="2011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300" b="1" i="0" baseline="0">
              <a:latin typeface="Times New Roman" pitchFamily="18" charset="0"/>
              <a:cs typeface="Times New Roman" pitchFamily="18" charset="0"/>
            </a:rPr>
            <a:t>Kiểm tra 1</a:t>
          </a: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300" b="1" i="0" baseline="0">
              <a:latin typeface="Times New Roman" pitchFamily="18" charset="0"/>
              <a:cs typeface="Times New Roman" pitchFamily="18" charset="0"/>
            </a:rPr>
            <a:t>Huỳnh Ngọc Thương</a:t>
          </a:r>
        </a:p>
        <a:p>
          <a:pPr algn="ctr"/>
          <a:endParaRPr lang="en-US" sz="1300" b="1" i="0" baseline="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221425</xdr:colOff>
      <xdr:row>2</xdr:row>
      <xdr:rowOff>12728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14652" cy="913273"/>
        </a:xfrm>
        <a:prstGeom prst="rect">
          <a:avLst/>
        </a:prstGeom>
      </xdr:spPr>
    </xdr:pic>
    <xdr:clientData/>
  </xdr:twoCellAnchor>
  <xdr:twoCellAnchor>
    <xdr:from>
      <xdr:col>40</xdr:col>
      <xdr:colOff>0</xdr:colOff>
      <xdr:row>0</xdr:row>
      <xdr:rowOff>0</xdr:rowOff>
    </xdr:from>
    <xdr:to>
      <xdr:col>40</xdr:col>
      <xdr:colOff>3007178</xdr:colOff>
      <xdr:row>1</xdr:row>
      <xdr:rowOff>435428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2356536" y="0"/>
          <a:ext cx="3007178" cy="884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latin typeface="Times New Roman" pitchFamily="18" charset="0"/>
              <a:cs typeface="Times New Roman" pitchFamily="18" charset="0"/>
            </a:rPr>
            <a:t>QT.TCMC.PHRD/01-BM06</a:t>
          </a:r>
        </a:p>
        <a:p>
          <a:r>
            <a:rPr lang="en-US" sz="1300">
              <a:latin typeface="Times New Roman" pitchFamily="18" charset="0"/>
              <a:cs typeface="Times New Roman" pitchFamily="18" charset="0"/>
            </a:rPr>
            <a:t>Lần</a:t>
          </a:r>
          <a:r>
            <a:rPr lang="en-US" sz="1300" baseline="0">
              <a:latin typeface="Times New Roman" pitchFamily="18" charset="0"/>
              <a:cs typeface="Times New Roman" pitchFamily="18" charset="0"/>
            </a:rPr>
            <a:t> thay đổi:.........................</a:t>
          </a:r>
        </a:p>
        <a:p>
          <a:r>
            <a:rPr lang="en-US" sz="1300" baseline="0">
              <a:latin typeface="Times New Roman" pitchFamily="18" charset="0"/>
              <a:cs typeface="Times New Roman" pitchFamily="18" charset="0"/>
            </a:rPr>
            <a:t>Ngày:......................................</a:t>
          </a:r>
          <a:endParaRPr lang="en-US" sz="13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3131528</xdr:colOff>
      <xdr:row>29</xdr:row>
      <xdr:rowOff>38100</xdr:rowOff>
    </xdr:from>
    <xdr:to>
      <xdr:col>3</xdr:col>
      <xdr:colOff>534133</xdr:colOff>
      <xdr:row>38</xdr:row>
      <xdr:rowOff>120058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3131528" y="8134350"/>
          <a:ext cx="3565280" cy="19679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>
            <a:lnSpc>
              <a:spcPts val="500"/>
            </a:lnSpc>
          </a:pPr>
          <a:r>
            <a:rPr lang="en-US" sz="1100" b="1" i="1">
              <a:latin typeface="Times New Roman" pitchFamily="18" charset="0"/>
              <a:cs typeface="Times New Roman" pitchFamily="18" charset="0"/>
            </a:rPr>
            <a:t>    </a:t>
          </a:r>
        </a:p>
        <a:p>
          <a:pPr algn="ctr">
            <a:lnSpc>
              <a:spcPts val="500"/>
            </a:lnSpc>
          </a:pPr>
          <a:r>
            <a:rPr lang="en-US" sz="1100" b="1" i="1">
              <a:latin typeface="Times New Roman" pitchFamily="18" charset="0"/>
              <a:cs typeface="Times New Roman" pitchFamily="18" charset="0"/>
            </a:rPr>
            <a:t>Núi</a:t>
          </a:r>
          <a:r>
            <a:rPr lang="en-US" sz="1100" b="1" i="1" baseline="0">
              <a:latin typeface="Times New Roman" pitchFamily="18" charset="0"/>
              <a:cs typeface="Times New Roman" pitchFamily="18" charset="0"/>
            </a:rPr>
            <a:t> thành</a:t>
          </a:r>
          <a:r>
            <a:rPr lang="en-US" sz="1100" i="1" baseline="0">
              <a:latin typeface="Times New Roman" pitchFamily="18" charset="0"/>
              <a:cs typeface="Times New Roman" pitchFamily="18" charset="0"/>
            </a:rPr>
            <a:t>, ngày          tháng        năm 2017</a:t>
          </a:r>
        </a:p>
        <a:p>
          <a:pPr algn="ctr">
            <a:lnSpc>
              <a:spcPts val="500"/>
            </a:lnSpc>
          </a:pPr>
          <a:endParaRPr lang="en-US" sz="1100" i="1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Người lập</a:t>
          </a:r>
        </a:p>
        <a:p>
          <a:pPr algn="ctr">
            <a:lnSpc>
              <a:spcPts val="5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5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500"/>
            </a:lnSpc>
          </a:pPr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Nguyễn Xuân Nghĩa</a:t>
          </a: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5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0" i="0" baseline="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2696416</xdr:colOff>
      <xdr:row>30</xdr:row>
      <xdr:rowOff>18637</xdr:rowOff>
    </xdr:from>
    <xdr:to>
      <xdr:col>1</xdr:col>
      <xdr:colOff>57150</xdr:colOff>
      <xdr:row>38</xdr:row>
      <xdr:rowOff>66467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96416" y="8324437"/>
          <a:ext cx="1361234" cy="1724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Xưởng Đồ Gá</a:t>
          </a: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Phạm Viết Phương</a:t>
          </a:r>
        </a:p>
      </xdr:txBody>
    </xdr:sp>
    <xdr:clientData/>
  </xdr:twoCellAnchor>
  <xdr:twoCellAnchor>
    <xdr:from>
      <xdr:col>0</xdr:col>
      <xdr:colOff>0</xdr:colOff>
      <xdr:row>29</xdr:row>
      <xdr:rowOff>64188</xdr:rowOff>
    </xdr:from>
    <xdr:to>
      <xdr:col>0</xdr:col>
      <xdr:colOff>1276978</xdr:colOff>
      <xdr:row>39</xdr:row>
      <xdr:rowOff>75575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0" y="8160438"/>
          <a:ext cx="1276978" cy="21068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Duyệt</a:t>
          </a: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Vương Ngọc Mẫn</a:t>
          </a:r>
        </a:p>
      </xdr:txBody>
    </xdr:sp>
    <xdr:clientData/>
  </xdr:twoCellAnchor>
  <xdr:twoCellAnchor>
    <xdr:from>
      <xdr:col>0</xdr:col>
      <xdr:colOff>1118585</xdr:colOff>
      <xdr:row>29</xdr:row>
      <xdr:rowOff>75158</xdr:rowOff>
    </xdr:from>
    <xdr:to>
      <xdr:col>0</xdr:col>
      <xdr:colOff>2708003</xdr:colOff>
      <xdr:row>39</xdr:row>
      <xdr:rowOff>63852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118585" y="8171408"/>
          <a:ext cx="1589418" cy="20841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Phòng RD-LKPT</a:t>
          </a: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Ngô Thanh Sơn</a:t>
          </a:r>
        </a:p>
        <a:p>
          <a:pPr algn="ctr"/>
          <a:endParaRPr lang="en-US" sz="1100" b="0" i="0" baseline="0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1512487</xdr:colOff>
      <xdr:row>30</xdr:row>
      <xdr:rowOff>125604</xdr:rowOff>
    </xdr:from>
    <xdr:to>
      <xdr:col>5</xdr:col>
      <xdr:colOff>116394</xdr:colOff>
      <xdr:row>40</xdr:row>
      <xdr:rowOff>83841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627037" y="8821929"/>
          <a:ext cx="3556907" cy="1968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>
            <a:lnSpc>
              <a:spcPts val="500"/>
            </a:lnSpc>
          </a:pPr>
          <a:r>
            <a:rPr lang="en-US" sz="1100" b="1" i="1">
              <a:latin typeface="Times New Roman" pitchFamily="18" charset="0"/>
              <a:cs typeface="Times New Roman" pitchFamily="18" charset="0"/>
            </a:rPr>
            <a:t>    </a:t>
          </a:r>
        </a:p>
        <a:p>
          <a:pPr algn="ctr">
            <a:lnSpc>
              <a:spcPts val="500"/>
            </a:lnSpc>
          </a:pPr>
          <a:r>
            <a:rPr lang="en-US" sz="1100" b="1" i="1">
              <a:latin typeface="Times New Roman" pitchFamily="18" charset="0"/>
              <a:cs typeface="Times New Roman" pitchFamily="18" charset="0"/>
            </a:rPr>
            <a:t>Núi</a:t>
          </a:r>
          <a:r>
            <a:rPr lang="en-US" sz="1100" b="1" i="1" baseline="0">
              <a:latin typeface="Times New Roman" pitchFamily="18" charset="0"/>
              <a:cs typeface="Times New Roman" pitchFamily="18" charset="0"/>
            </a:rPr>
            <a:t> thành</a:t>
          </a:r>
          <a:r>
            <a:rPr lang="en-US" sz="1100" i="1" baseline="0">
              <a:latin typeface="Times New Roman" pitchFamily="18" charset="0"/>
              <a:cs typeface="Times New Roman" pitchFamily="18" charset="0"/>
            </a:rPr>
            <a:t>, ngày          tháng        năm 2017</a:t>
          </a:r>
        </a:p>
        <a:p>
          <a:pPr algn="ctr">
            <a:lnSpc>
              <a:spcPts val="500"/>
            </a:lnSpc>
          </a:pPr>
          <a:endParaRPr lang="en-US" sz="1100" i="1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Người lập</a:t>
          </a:r>
        </a:p>
        <a:p>
          <a:pPr algn="ctr">
            <a:lnSpc>
              <a:spcPts val="5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5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500"/>
            </a:lnSpc>
          </a:pPr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Nguyễn Xuân Nghĩa</a:t>
          </a: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500"/>
            </a:lnSpc>
          </a:pPr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600"/>
            </a:lnSpc>
          </a:pPr>
          <a:endParaRPr lang="en-US" sz="1100" b="0" i="0" baseline="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982125</xdr:colOff>
      <xdr:row>31</xdr:row>
      <xdr:rowOff>180561</xdr:rowOff>
    </xdr:from>
    <xdr:to>
      <xdr:col>2</xdr:col>
      <xdr:colOff>2219011</xdr:colOff>
      <xdr:row>40</xdr:row>
      <xdr:rowOff>20725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3096675" y="9000711"/>
          <a:ext cx="1236886" cy="1726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Xưởng CNC</a:t>
          </a: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Lê Công Trường</a:t>
          </a:r>
        </a:p>
      </xdr:txBody>
    </xdr:sp>
    <xdr:clientData/>
  </xdr:twoCellAnchor>
  <xdr:twoCellAnchor>
    <xdr:from>
      <xdr:col>0</xdr:col>
      <xdr:colOff>0</xdr:colOff>
      <xdr:row>31</xdr:row>
      <xdr:rowOff>16562</xdr:rowOff>
    </xdr:from>
    <xdr:to>
      <xdr:col>1</xdr:col>
      <xdr:colOff>805962</xdr:colOff>
      <xdr:row>41</xdr:row>
      <xdr:rowOff>30043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0" y="8836712"/>
          <a:ext cx="1272687" cy="2108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Duyệt</a:t>
          </a: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Vương Ngọc Mẫn</a:t>
          </a:r>
        </a:p>
      </xdr:txBody>
    </xdr:sp>
    <xdr:clientData/>
  </xdr:twoCellAnchor>
  <xdr:twoCellAnchor>
    <xdr:from>
      <xdr:col>1</xdr:col>
      <xdr:colOff>952369</xdr:colOff>
      <xdr:row>31</xdr:row>
      <xdr:rowOff>27532</xdr:rowOff>
    </xdr:from>
    <xdr:to>
      <xdr:col>2</xdr:col>
      <xdr:colOff>898462</xdr:colOff>
      <xdr:row>41</xdr:row>
      <xdr:rowOff>18320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419094" y="8847682"/>
          <a:ext cx="1593918" cy="2086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Phòng RD-LKPT</a:t>
          </a: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="1" i="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 b="1" i="0" baseline="0">
              <a:latin typeface="Times New Roman" pitchFamily="18" charset="0"/>
              <a:cs typeface="Times New Roman" pitchFamily="18" charset="0"/>
            </a:rPr>
            <a:t>Ngô Thanh Sơn</a:t>
          </a:r>
        </a:p>
        <a:p>
          <a:pPr algn="ctr"/>
          <a:endParaRPr lang="en-US" sz="1100" b="0" i="0" baseline="0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980;&#45768;\&#51064;&#46020;&#45348;&#49884;&#50500;\&#50577;&#47749;&#54616;\b%20team\add\Book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1\c\Thuy\Danang\Vung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Vy\Tam%20do%20mang%20bi%20loi\Khu%20TDC%20An%20Hoa,%20Tan%20Thanh%20ADB\KDC%20Tan%20Thanh\dutoanbcdt\csd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ranxuanngoc\Desktop\Doosan%20Vina1122\Bao%20gia%20don%20hang%20doos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Vy\Tam%20do%20mang%20bi%20loi\Tham%20tra%20ODA\May%20Dien%20Ban\Du%20toan%20Dz-TBA%20XNMa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.M.TUAN\tuan\DT-DINH-nha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48120;\C\EXCEL\KHM\&#49444;&#48320;\1999\MSOFFICE\HEXCEL\PARK\&#49444;&#48320;\DOMEVARL.JT3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688;\C\AS_CLAIM\MYCAR\PRDW3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ACO%20-%20X&#431;&#7902;NG%20H&#192;N\3.%20XH%20-%20THONG%20KE%202015\23.%20H&#192;NH%20CH&#205;NH\T&#258;NG%20CA%202017\TH&#193;NG%201\Bao%20NS%2019-04%20Han%20thung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di\&#54408;&#51656;&#46041;&#54693;\&#50900;&#48324;&#54408;&#51656;\PDI&#50900;&#48372;\2001&#45380;%20&#50900;&#48324;&#54408;&#51656;\1&#50900;\2000&#45380;%20&#50900;&#48324;&#54408;&#51656;\AS_CLAIM\MYCAR\PRDW3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340;\C\windows\TEMP\&#54532;&#47112;&#51076;&#44512;&#50676;&#44288;&#47144;\AS_CLAIM\MYCAR\PRDW3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3"/>
      <sheetName val="#REF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CS"/>
      <sheetName val="N.LIEU-B.HIEM"/>
      <sheetName val="BaoCaoGiaoBan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THONG SO VTTC"/>
      <sheetName val="HO TRO"/>
      <sheetName val="Danh muc du an - Khach hang"/>
      <sheetName val="BM01-Summary"/>
      <sheetName val="DM"/>
      <sheetName val="Bang tinh truy linh OK"/>
      <sheetName val="Bảng truy lĩnh 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on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onꖊTueꖨWedꗆThuꗤ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du lieu tham chieu"/>
      <sheetName val="danh muc"/>
      <sheetName val="MÃ"/>
      <sheetName val="NGUỒN"/>
      <sheetName val="RAB AR&amp;STR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/>
      <sheetData sheetId="420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4Poppy"/>
      <sheetName val="CONS PPMU ETC"/>
      <sheetName val="SUMMARY PT E"/>
      <sheetName val="INVESTIGATIONS "/>
      <sheetName val="TRG, COMP  SUMMARY"/>
      <sheetName val="CESI"/>
      <sheetName val="RS SUMMARY"/>
      <sheetName val="Sheet7"/>
      <sheetName val="Sheet8"/>
      <sheetName val="Sheet9"/>
      <sheetName val="TRG DETAILS"/>
      <sheetName val="Sheet11"/>
      <sheetName val="DETAILED INVESTS"/>
      <sheetName val="Sheet3"/>
      <sheetName val="LKVL-CK-HT-GD1"/>
      <sheetName val="TONGKE-HT"/>
      <sheetName val="G.VL"/>
      <sheetName val="Tai khoan"/>
      <sheetName val="thao-go"/>
      <sheetName val="§¬n gi¸ chÝnh"/>
      <sheetName val="CT01"/>
      <sheetName val="DI-ESTI"/>
      <sheetName val="2001"/>
      <sheetName val="156nhap01"/>
      <sheetName val="thietbi"/>
      <sheetName val="nhapT7"/>
      <sheetName val="_x0000__x0000__x0000__x0000__x0000__x0000__x0000__x0000_"/>
      <sheetName val="T11,12-2001"/>
      <sheetName val="CONS_PPMU_ETC"/>
      <sheetName val="SUMMARY_PT_E"/>
      <sheetName val="INVESTIGATIONS_"/>
      <sheetName val="TRG,_COMP__SUMMARY"/>
      <sheetName val="RS_SUMMARY"/>
      <sheetName val="TRG_DETAILS"/>
      <sheetName val="DETAILED_INVESTS"/>
      <sheetName val="Tai_khoan"/>
      <sheetName val="gVL"/>
      <sheetName val="Sheet1"/>
      <sheetName val="Sheet2"/>
      <sheetName val="Sheet4"/>
      <sheetName val="chấm cơm"/>
      <sheetName val="Sheet5"/>
      <sheetName val="Cao độ"/>
      <sheetName val="GIAVLIEU"/>
      <sheetName val="ch?m cõm"/>
      <sheetName val="Cao ð?"/>
      <sheetName val="Vung11"/>
      <sheetName val="May"/>
      <sheetName val="Chiet tinh dz35"/>
      <sheetName val="VC"/>
      <sheetName val="chitiet"/>
      <sheetName val="TONG HOP"/>
      <sheetName val="LIET KE HANG HOA"/>
      <sheetName val="ESTI."/>
      <sheetName val="G_VL"/>
      <sheetName val="chấm_cơm"/>
      <sheetName val="Cao_độ"/>
      <sheetName val="IBASE"/>
      <sheetName val="SP10"/>
      <sheetName val="ch_m cõm"/>
      <sheetName val="Cao ð_"/>
      <sheetName val="BM"/>
      <sheetName val="CT Thang Mo"/>
      <sheetName val="CT  PL"/>
      <sheetName val="Chiet tinh dz22"/>
      <sheetName val="§¬n_gi¸_chÝnh"/>
      <sheetName val="Quantity"/>
      <sheetName val="CONS_PPMU_ETC1"/>
      <sheetName val="SUMMARY_PT_E1"/>
      <sheetName val="INVESTIGATIONS_1"/>
      <sheetName val="TRG,_COMP__SUMMARY1"/>
      <sheetName val="RS_SUMMARY1"/>
      <sheetName val="TRG_DETAILS1"/>
      <sheetName val="DETAILED_INVESTS1"/>
      <sheetName val="G_VL1"/>
      <sheetName val="Tai_khoan1"/>
      <sheetName val="§¬n_gi¸_chÝnh1"/>
      <sheetName val="Nhan cong"/>
      <sheetName val="Thiet bi"/>
      <sheetName val="Vat tu"/>
      <sheetName val="DM.ChiPhi"/>
      <sheetName val="Phan tich"/>
      <sheetName val="Bang KL"/>
      <sheetName val="TH Kinh phi"/>
      <sheetName val="May TC"/>
      <sheetName val="Giá Bê tông 2 bên"/>
      <sheetName val="_x005f_x0000__x005f_x0000__x005f_x0000__x005f_x0000__x0"/>
      <sheetName val="Parem"/>
      <sheetName val="WORKSC~1"/>
      <sheetName val="eqp"/>
      <sheetName val="dg-VTu"/>
      <sheetName val="b-b"/>
      <sheetName val="cau tao cot dai"/>
      <sheetName val="MTO REV.0"/>
      <sheetName val="new-panel"/>
      <sheetName val="Solieu"/>
      <sheetName val="DLDTLN"/>
      <sheetName val="up"/>
      <sheetName val="????????"/>
      <sheetName val="1-S.C"/>
      <sheetName val="LIST"/>
      <sheetName val="annex cable"/>
      <sheetName val=""/>
      <sheetName val="MTO REV.2(ARMOR)"/>
      <sheetName val="________"/>
    </sheetNames>
    <sheetDataSet>
      <sheetData sheetId="0" refreshError="1">
        <row r="31">
          <cell r="C31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 vat lieu"/>
      <sheetName val="DG THIET BI"/>
      <sheetName val="DGVCTC 285"/>
      <sheetName val="DG 285"/>
      <sheetName val="DG  286"/>
      <sheetName val="DG 89"/>
      <sheetName val="DG 85"/>
      <sheetName val="CHUOI CACH DIEN"/>
      <sheetName val="00000000"/>
      <sheetName val="dongia (2)"/>
      <sheetName val="Nhan cong"/>
      <sheetName val="Thiet bi"/>
      <sheetName val="Vat tu"/>
      <sheetName val="DM.ChiPhi"/>
      <sheetName val="May TC"/>
      <sheetName val="Phan tich"/>
      <sheetName val="TH Kinh phi"/>
    </sheetNames>
    <sheetDataSet>
      <sheetData sheetId="0" refreshError="1">
        <row r="5">
          <cell r="C5" t="str">
            <v>Cét</v>
          </cell>
        </row>
        <row r="6">
          <cell r="C6" t="str">
            <v>Cét BTLT</v>
          </cell>
        </row>
        <row r="7">
          <cell r="B7" t="str">
            <v>LT-7.5a</v>
          </cell>
          <cell r="C7" t="str">
            <v>Cét bª t«ng ly t©m   LT- 7.5 a m</v>
          </cell>
          <cell r="D7" t="str">
            <v>Cét</v>
          </cell>
          <cell r="E7">
            <v>1</v>
          </cell>
          <cell r="F7">
            <v>0.51</v>
          </cell>
          <cell r="G7">
            <v>705000</v>
          </cell>
        </row>
        <row r="8">
          <cell r="B8" t="str">
            <v>LT-7.5b</v>
          </cell>
          <cell r="C8" t="str">
            <v>Cét bª t«ng ly t©m   LT- 7.5 b m</v>
          </cell>
          <cell r="D8" t="str">
            <v>Cét</v>
          </cell>
          <cell r="E8">
            <v>1</v>
          </cell>
          <cell r="F8">
            <v>0.52</v>
          </cell>
          <cell r="G8">
            <v>725000</v>
          </cell>
        </row>
        <row r="9">
          <cell r="B9" t="str">
            <v>LT-7.5c</v>
          </cell>
          <cell r="C9" t="str">
            <v>Cét bª t«ng ly t©m   LT- 7.5 c m</v>
          </cell>
          <cell r="D9" t="str">
            <v>Cét</v>
          </cell>
          <cell r="E9">
            <v>1</v>
          </cell>
          <cell r="F9">
            <v>0.54</v>
          </cell>
          <cell r="G9">
            <v>750000</v>
          </cell>
        </row>
        <row r="10">
          <cell r="B10" t="str">
            <v>LT-8.4a</v>
          </cell>
          <cell r="C10" t="str">
            <v>Cét bª t«ng ly t©m   LT- 8.4 a m</v>
          </cell>
          <cell r="D10" t="str">
            <v>Cét</v>
          </cell>
          <cell r="E10">
            <v>1</v>
          </cell>
          <cell r="F10">
            <v>0.56999999999999995</v>
          </cell>
          <cell r="G10">
            <v>897000</v>
          </cell>
        </row>
        <row r="11">
          <cell r="B11" t="str">
            <v>LT-8.4b</v>
          </cell>
          <cell r="C11" t="str">
            <v>Cét bª t«ng ly t©m   LT- 8.4 b m</v>
          </cell>
          <cell r="D11" t="str">
            <v>Cét</v>
          </cell>
          <cell r="E11">
            <v>1</v>
          </cell>
          <cell r="F11">
            <v>0.57999999999999996</v>
          </cell>
          <cell r="G11">
            <v>993000</v>
          </cell>
        </row>
        <row r="12">
          <cell r="B12" t="str">
            <v>LT-8.4c</v>
          </cell>
          <cell r="C12" t="str">
            <v>Cét bª t«ng ly t©m   LT- 8.4 c m</v>
          </cell>
          <cell r="D12" t="str">
            <v>Cét</v>
          </cell>
          <cell r="E12">
            <v>1</v>
          </cell>
          <cell r="F12">
            <v>0.59</v>
          </cell>
          <cell r="G12">
            <v>1217000</v>
          </cell>
        </row>
        <row r="13">
          <cell r="B13" t="str">
            <v>LT-8.4d</v>
          </cell>
          <cell r="C13" t="str">
            <v>Cét bª t«ng ly t©m   LT- 8.4 d m</v>
          </cell>
          <cell r="D13" t="str">
            <v>Cét</v>
          </cell>
          <cell r="E13">
            <v>1</v>
          </cell>
          <cell r="F13">
            <v>0.71</v>
          </cell>
          <cell r="G13">
            <v>1465000</v>
          </cell>
        </row>
        <row r="14">
          <cell r="B14" t="str">
            <v>LT-10.5a</v>
          </cell>
          <cell r="C14" t="str">
            <v>Cét bª t«ng ly t©m   LT- 10,5a</v>
          </cell>
          <cell r="D14" t="str">
            <v>Cét</v>
          </cell>
          <cell r="E14">
            <v>1</v>
          </cell>
          <cell r="F14">
            <v>0.94</v>
          </cell>
          <cell r="G14">
            <v>1314000</v>
          </cell>
        </row>
        <row r="15">
          <cell r="B15" t="str">
            <v>LT-10.5b</v>
          </cell>
          <cell r="C15" t="str">
            <v>Cét bª t«ng ly t©m   LT- 10,5b</v>
          </cell>
          <cell r="D15" t="str">
            <v>Cét</v>
          </cell>
          <cell r="E15">
            <v>1</v>
          </cell>
          <cell r="F15">
            <v>0.94</v>
          </cell>
          <cell r="G15">
            <v>1481000</v>
          </cell>
        </row>
        <row r="16">
          <cell r="B16" t="str">
            <v>LT-10.5c</v>
          </cell>
          <cell r="C16" t="str">
            <v>Cét bª t«ng ly t©m   LT- 10,5c</v>
          </cell>
          <cell r="D16" t="str">
            <v>Cét</v>
          </cell>
          <cell r="E16">
            <v>1</v>
          </cell>
          <cell r="F16">
            <v>0.94</v>
          </cell>
          <cell r="G16">
            <v>1746000</v>
          </cell>
        </row>
        <row r="17">
          <cell r="B17" t="str">
            <v>LT-12a</v>
          </cell>
          <cell r="C17" t="str">
            <v>Cét bª t«ng ly t©m   LT- 12a</v>
          </cell>
          <cell r="D17" t="str">
            <v>Cét</v>
          </cell>
          <cell r="E17">
            <v>1</v>
          </cell>
          <cell r="F17">
            <v>1.21</v>
          </cell>
          <cell r="G17">
            <v>1943000</v>
          </cell>
        </row>
        <row r="18">
          <cell r="B18" t="str">
            <v>LT-12b</v>
          </cell>
          <cell r="C18" t="str">
            <v>Cét bª t«ng ly t©m   LT- 12b</v>
          </cell>
          <cell r="D18" t="str">
            <v>Cét</v>
          </cell>
          <cell r="E18">
            <v>1</v>
          </cell>
          <cell r="F18">
            <v>1.21</v>
          </cell>
          <cell r="G18">
            <v>2390000</v>
          </cell>
        </row>
        <row r="19">
          <cell r="B19" t="str">
            <v>LT-12c</v>
          </cell>
          <cell r="C19" t="str">
            <v>Cét bª t«ng ly t©m   LT- 12 C</v>
          </cell>
          <cell r="D19" t="str">
            <v>Cét</v>
          </cell>
          <cell r="E19">
            <v>1</v>
          </cell>
          <cell r="F19">
            <v>1.21</v>
          </cell>
          <cell r="G19">
            <v>2908000</v>
          </cell>
        </row>
        <row r="20">
          <cell r="B20" t="str">
            <v>LT-14a</v>
          </cell>
          <cell r="C20" t="str">
            <v>Cét bª t«ng ly t©m   LT- 14a</v>
          </cell>
          <cell r="D20" t="str">
            <v>Cét</v>
          </cell>
          <cell r="E20">
            <v>1</v>
          </cell>
          <cell r="F20">
            <v>1.56</v>
          </cell>
          <cell r="G20">
            <v>2821000</v>
          </cell>
        </row>
        <row r="21">
          <cell r="B21" t="str">
            <v>LT-14b</v>
          </cell>
          <cell r="C21" t="str">
            <v>Cét bª t«ng ly t©m   LT- 14b</v>
          </cell>
          <cell r="D21" t="str">
            <v>Cét</v>
          </cell>
          <cell r="E21">
            <v>1</v>
          </cell>
          <cell r="F21">
            <v>1.57</v>
          </cell>
          <cell r="G21">
            <v>3409000</v>
          </cell>
        </row>
        <row r="22">
          <cell r="B22" t="str">
            <v>LT-14c</v>
          </cell>
          <cell r="C22" t="str">
            <v>Cét bª t«ng ly t©m   LT- 14c</v>
          </cell>
          <cell r="D22" t="str">
            <v>Cét</v>
          </cell>
          <cell r="E22">
            <v>1</v>
          </cell>
          <cell r="F22">
            <v>1.58</v>
          </cell>
          <cell r="G22">
            <v>3941000</v>
          </cell>
        </row>
        <row r="23">
          <cell r="B23" t="str">
            <v>LT-16c</v>
          </cell>
          <cell r="C23" t="str">
            <v>Cét bª t«ng ly t©m   LT- 16d</v>
          </cell>
          <cell r="D23" t="str">
            <v>Cét</v>
          </cell>
          <cell r="E23">
            <v>1</v>
          </cell>
          <cell r="F23">
            <v>2.2999999999999998</v>
          </cell>
          <cell r="G23">
            <v>7650000</v>
          </cell>
        </row>
        <row r="24">
          <cell r="B24" t="str">
            <v>LT-20d</v>
          </cell>
          <cell r="C24" t="str">
            <v>Cét bª t«ng ly t©m   LT- 20d</v>
          </cell>
          <cell r="D24" t="str">
            <v>Cét</v>
          </cell>
          <cell r="E24">
            <v>1</v>
          </cell>
          <cell r="F24">
            <v>2.5</v>
          </cell>
          <cell r="G24">
            <v>9273000</v>
          </cell>
        </row>
        <row r="25">
          <cell r="C25" t="str">
            <v>Cét s¾t</v>
          </cell>
        </row>
        <row r="26">
          <cell r="B26" t="str">
            <v>CS-7.2</v>
          </cell>
          <cell r="C26" t="str">
            <v>Cét s¾t 7.2 m; CS-7.2</v>
          </cell>
          <cell r="D26" t="str">
            <v>Cét</v>
          </cell>
          <cell r="E26">
            <v>1</v>
          </cell>
          <cell r="F26">
            <v>558.64</v>
          </cell>
        </row>
        <row r="27">
          <cell r="B27" t="str">
            <v>CS-9.3</v>
          </cell>
          <cell r="C27" t="str">
            <v>Cét s¾t 7.9 m; CS-9.3</v>
          </cell>
          <cell r="D27" t="str">
            <v>Cét</v>
          </cell>
          <cell r="E27">
            <v>1</v>
          </cell>
          <cell r="F27">
            <v>855.74</v>
          </cell>
        </row>
        <row r="28">
          <cell r="B28" t="str">
            <v>CS-10.7</v>
          </cell>
          <cell r="C28" t="str">
            <v>Cét s¾t 10.7 m; CS-10.7</v>
          </cell>
          <cell r="D28" t="str">
            <v>Cét</v>
          </cell>
          <cell r="E28">
            <v>1</v>
          </cell>
          <cell r="F28">
            <v>1666.4199999999998</v>
          </cell>
        </row>
        <row r="29">
          <cell r="B29" t="str">
            <v>CS-12.1</v>
          </cell>
          <cell r="C29" t="str">
            <v>Cét s¾t 12.1 m; CS-12.1</v>
          </cell>
          <cell r="D29" t="str">
            <v>Cét</v>
          </cell>
          <cell r="E29">
            <v>1</v>
          </cell>
          <cell r="F29">
            <v>2401.58</v>
          </cell>
        </row>
        <row r="30">
          <cell r="B30" t="str">
            <v>CS-14.5</v>
          </cell>
          <cell r="C30" t="str">
            <v>Cét s¾t 14.5 m; CS-14.5</v>
          </cell>
          <cell r="D30" t="str">
            <v>Cét</v>
          </cell>
          <cell r="E30">
            <v>1</v>
          </cell>
          <cell r="F30">
            <v>2740.0699999999997</v>
          </cell>
        </row>
        <row r="31">
          <cell r="B31" t="str">
            <v>CS-17.7</v>
          </cell>
          <cell r="C31" t="str">
            <v>Cét s¾t 17.7 m; CS-17.7</v>
          </cell>
          <cell r="D31" t="str">
            <v>Cét</v>
          </cell>
          <cell r="E31">
            <v>1</v>
          </cell>
          <cell r="F31">
            <v>3765.8</v>
          </cell>
        </row>
        <row r="32">
          <cell r="B32" t="str">
            <v>CS-20</v>
          </cell>
          <cell r="C32" t="str">
            <v>Cét s¾t 20 m; CS-20</v>
          </cell>
          <cell r="D32" t="str">
            <v>Cét</v>
          </cell>
          <cell r="E32">
            <v>1</v>
          </cell>
          <cell r="F32">
            <v>3871.9</v>
          </cell>
        </row>
        <row r="33">
          <cell r="B33" t="str">
            <v>CS-25</v>
          </cell>
          <cell r="C33" t="str">
            <v>Cét s¾t 25 m; CS-25</v>
          </cell>
          <cell r="D33" t="str">
            <v>Cét</v>
          </cell>
          <cell r="E33">
            <v>1</v>
          </cell>
          <cell r="F33">
            <v>3965</v>
          </cell>
        </row>
        <row r="34">
          <cell r="B34" t="str">
            <v>CS-27</v>
          </cell>
          <cell r="C34" t="str">
            <v>Cét s¾t 27 m; CS-27</v>
          </cell>
          <cell r="D34" t="str">
            <v>Cét</v>
          </cell>
          <cell r="E34">
            <v>1</v>
          </cell>
          <cell r="F34">
            <v>4156</v>
          </cell>
        </row>
        <row r="35">
          <cell r="C35" t="str">
            <v>Sø + phô kiÖn</v>
          </cell>
        </row>
        <row r="36">
          <cell r="B36" t="str">
            <v>S§-22</v>
          </cell>
          <cell r="C36" t="str">
            <v>Sø ®øng 22 KV + Ty ( S§-22 )</v>
          </cell>
          <cell r="D36" t="str">
            <v>bé</v>
          </cell>
          <cell r="E36">
            <v>1</v>
          </cell>
          <cell r="F36">
            <v>4.5999999999999996</v>
          </cell>
          <cell r="G36">
            <v>59095</v>
          </cell>
        </row>
        <row r="37">
          <cell r="B37" t="str">
            <v>S§-22NM</v>
          </cell>
          <cell r="C37" t="str">
            <v>Sø ®øng 22 KV + Ty ( S§-22; Chèng nhiÔm mÆn )</v>
          </cell>
          <cell r="D37" t="str">
            <v>bé</v>
          </cell>
          <cell r="E37">
            <v>1</v>
          </cell>
          <cell r="F37">
            <v>4.5999999999999996</v>
          </cell>
          <cell r="G37">
            <v>80095</v>
          </cell>
        </row>
        <row r="38">
          <cell r="B38" t="str">
            <v>S§-35</v>
          </cell>
          <cell r="C38" t="str">
            <v>Sø ®øng 35 KV + Ty ( S§-35 )</v>
          </cell>
          <cell r="D38" t="str">
            <v>bé</v>
          </cell>
          <cell r="E38">
            <v>1</v>
          </cell>
          <cell r="F38">
            <v>5.5</v>
          </cell>
          <cell r="G38">
            <v>127000</v>
          </cell>
        </row>
        <row r="39">
          <cell r="B39" t="str">
            <v>S§-35NM</v>
          </cell>
          <cell r="C39" t="str">
            <v>Sø ®øng 35 KV + Ty ( S§-35; Chèng nhiÔm mÆn )</v>
          </cell>
          <cell r="D39" t="str">
            <v>bé</v>
          </cell>
          <cell r="E39">
            <v>1</v>
          </cell>
          <cell r="F39">
            <v>5.5</v>
          </cell>
          <cell r="G39">
            <v>161100</v>
          </cell>
        </row>
        <row r="40">
          <cell r="B40" t="str">
            <v>C§-22</v>
          </cell>
          <cell r="C40" t="str">
            <v>Sø chuçi ®ì C§-22 ( 2 b¸t )</v>
          </cell>
          <cell r="D40" t="str">
            <v>bé</v>
          </cell>
          <cell r="E40">
            <v>1</v>
          </cell>
          <cell r="F40">
            <v>12.67</v>
          </cell>
          <cell r="G40">
            <v>201000</v>
          </cell>
        </row>
        <row r="41">
          <cell r="B41" t="str">
            <v>C§-35</v>
          </cell>
          <cell r="C41" t="str">
            <v>Sø chuçi ®ì C§-35 ( 3 b¸t )</v>
          </cell>
          <cell r="D41" t="str">
            <v>bé</v>
          </cell>
          <cell r="E41">
            <v>1</v>
          </cell>
          <cell r="F41">
            <v>17.89</v>
          </cell>
          <cell r="G41">
            <v>302000</v>
          </cell>
        </row>
        <row r="42">
          <cell r="B42" t="str">
            <v>CN-1</v>
          </cell>
          <cell r="C42" t="str">
            <v>Sø chuçi nÐo CN-1 ( 1 b¸t )</v>
          </cell>
          <cell r="D42" t="str">
            <v>bé</v>
          </cell>
          <cell r="E42">
            <v>1</v>
          </cell>
          <cell r="F42">
            <v>13.324999999999999</v>
          </cell>
          <cell r="G42">
            <v>160000</v>
          </cell>
        </row>
        <row r="43">
          <cell r="B43" t="str">
            <v>CN-22</v>
          </cell>
          <cell r="C43" t="str">
            <v>Sø chuçi nÐo CN-22 ( 3 b¸t )</v>
          </cell>
          <cell r="D43" t="str">
            <v>bé</v>
          </cell>
          <cell r="E43">
            <v>1</v>
          </cell>
          <cell r="F43">
            <v>33.89</v>
          </cell>
          <cell r="G43">
            <v>255000</v>
          </cell>
        </row>
        <row r="44">
          <cell r="B44" t="str">
            <v>CN-22N</v>
          </cell>
          <cell r="C44" t="str">
            <v>Sø chuçi nÐo CN-22 ng­îc ( 3 b¸t )</v>
          </cell>
          <cell r="D44" t="str">
            <v>bé</v>
          </cell>
          <cell r="E44">
            <v>1</v>
          </cell>
          <cell r="F44">
            <v>34.56</v>
          </cell>
          <cell r="G44">
            <v>309000</v>
          </cell>
        </row>
        <row r="45">
          <cell r="B45" t="str">
            <v>CN-35(4)</v>
          </cell>
          <cell r="C45" t="str">
            <v>Sø chuçi nÐo CN-35 ( 4 B¸t )</v>
          </cell>
          <cell r="D45" t="str">
            <v>bé</v>
          </cell>
          <cell r="E45">
            <v>1</v>
          </cell>
          <cell r="F45">
            <v>47.89</v>
          </cell>
          <cell r="G45">
            <v>356000</v>
          </cell>
        </row>
        <row r="46">
          <cell r="B46" t="str">
            <v>CN-35N(4)</v>
          </cell>
          <cell r="C46" t="str">
            <v>Sø chuçi nÐo CN-35 ng­îc</v>
          </cell>
          <cell r="D46" t="str">
            <v>bé</v>
          </cell>
          <cell r="E46">
            <v>1</v>
          </cell>
          <cell r="F46">
            <v>48.21</v>
          </cell>
          <cell r="G46">
            <v>410000</v>
          </cell>
        </row>
        <row r="47">
          <cell r="B47" t="str">
            <v>CN-35(5)</v>
          </cell>
          <cell r="C47" t="str">
            <v>Sø chuçi nÐo CN-35 ( 5 B¸t )</v>
          </cell>
          <cell r="D47" t="str">
            <v>bé</v>
          </cell>
          <cell r="E47">
            <v>1</v>
          </cell>
          <cell r="F47">
            <v>51.67</v>
          </cell>
          <cell r="G47">
            <v>431500</v>
          </cell>
        </row>
        <row r="48">
          <cell r="B48" t="str">
            <v>SO-0.4</v>
          </cell>
          <cell r="C48" t="str">
            <v>Sø h¹ thÕ SO-0.4 KV + Ty</v>
          </cell>
          <cell r="D48" t="str">
            <v>bé</v>
          </cell>
          <cell r="E48">
            <v>1</v>
          </cell>
          <cell r="F48">
            <v>1.34</v>
          </cell>
          <cell r="G48">
            <v>7500</v>
          </cell>
        </row>
        <row r="49">
          <cell r="B49" t="str">
            <v>SPL-0.4</v>
          </cell>
          <cell r="C49" t="str">
            <v>Sø Bu ly 0.4 KV + Ty</v>
          </cell>
          <cell r="D49" t="str">
            <v>bé</v>
          </cell>
          <cell r="E49">
            <v>1</v>
          </cell>
          <cell r="F49">
            <v>1.34</v>
          </cell>
          <cell r="G49">
            <v>7500</v>
          </cell>
        </row>
        <row r="50">
          <cell r="B50" t="str">
            <v>BCS-DB</v>
          </cell>
          <cell r="C50" t="str">
            <v>D©y buéc cæ sø</v>
          </cell>
          <cell r="D50" t="str">
            <v>bé</v>
          </cell>
          <cell r="E50">
            <v>1</v>
          </cell>
          <cell r="F50">
            <v>0.01</v>
          </cell>
          <cell r="G50">
            <v>253000</v>
          </cell>
        </row>
        <row r="51">
          <cell r="B51" t="str">
            <v>BCS-DT</v>
          </cell>
          <cell r="C51" t="str">
            <v>D©y buéc cæ sø</v>
          </cell>
          <cell r="D51" t="str">
            <v>bé</v>
          </cell>
          <cell r="E51">
            <v>1</v>
          </cell>
          <cell r="F51">
            <v>0.01</v>
          </cell>
          <cell r="G51">
            <v>3500</v>
          </cell>
        </row>
        <row r="52">
          <cell r="C52" t="str">
            <v>Phô kiÖn chuçi sø</v>
          </cell>
        </row>
        <row r="53">
          <cell r="B53" t="str">
            <v>MT-6</v>
          </cell>
          <cell r="C53" t="str">
            <v>Mãc treo ch÷ U MT-6</v>
          </cell>
          <cell r="D53" t="str">
            <v>C¸i</v>
          </cell>
          <cell r="E53">
            <v>1</v>
          </cell>
          <cell r="F53">
            <v>1.5</v>
          </cell>
          <cell r="G53">
            <v>13125</v>
          </cell>
        </row>
        <row r="54">
          <cell r="B54" t="str">
            <v>MT-9</v>
          </cell>
          <cell r="C54" t="str">
            <v>Mãc treo ch÷ U MT-9</v>
          </cell>
          <cell r="D54" t="str">
            <v>C¸i</v>
          </cell>
          <cell r="E54">
            <v>1</v>
          </cell>
          <cell r="F54">
            <v>1.5</v>
          </cell>
          <cell r="G54">
            <v>18750</v>
          </cell>
        </row>
        <row r="55">
          <cell r="B55" t="str">
            <v>MT-12</v>
          </cell>
          <cell r="C55" t="str">
            <v>Mãc treo ch÷ U MT-12</v>
          </cell>
          <cell r="D55" t="str">
            <v>C¸i</v>
          </cell>
          <cell r="E55">
            <v>1</v>
          </cell>
          <cell r="F55">
            <v>1.5</v>
          </cell>
          <cell r="G55">
            <v>29750</v>
          </cell>
        </row>
        <row r="56">
          <cell r="B56" t="str">
            <v>VT-6</v>
          </cell>
          <cell r="C56" t="str">
            <v>Vßng treo ®Çu trßn VT-6</v>
          </cell>
          <cell r="D56" t="str">
            <v>C¸i</v>
          </cell>
          <cell r="E56">
            <v>1</v>
          </cell>
          <cell r="F56">
            <v>1.5</v>
          </cell>
          <cell r="G56">
            <v>12625</v>
          </cell>
        </row>
        <row r="57">
          <cell r="B57" t="str">
            <v>VT-9</v>
          </cell>
          <cell r="C57" t="str">
            <v>Vßng treo ®Çu trßn VT-9</v>
          </cell>
          <cell r="D57" t="str">
            <v>C¸i</v>
          </cell>
          <cell r="E57">
            <v>1</v>
          </cell>
          <cell r="F57">
            <v>1.5</v>
          </cell>
          <cell r="G57">
            <v>19625</v>
          </cell>
        </row>
        <row r="58">
          <cell r="B58" t="str">
            <v>VT-12</v>
          </cell>
          <cell r="C58" t="str">
            <v>Vßng treo ®Çu trßn VT-12</v>
          </cell>
          <cell r="D58" t="str">
            <v>C¸i</v>
          </cell>
          <cell r="E58">
            <v>1</v>
          </cell>
          <cell r="F58">
            <v>1.5</v>
          </cell>
          <cell r="G58">
            <v>26625</v>
          </cell>
        </row>
        <row r="59">
          <cell r="B59" t="str">
            <v>IIC-70D</v>
          </cell>
          <cell r="C59" t="str">
            <v>C¸ch ®iÖn IIC-70D</v>
          </cell>
          <cell r="D59" t="str">
            <v>C¸i</v>
          </cell>
          <cell r="E59">
            <v>1</v>
          </cell>
          <cell r="F59">
            <v>1.5</v>
          </cell>
          <cell r="G59">
            <v>108000</v>
          </cell>
        </row>
        <row r="60">
          <cell r="B60" t="str">
            <v>U120-BL</v>
          </cell>
          <cell r="C60" t="str">
            <v>C¸ch ®iÖn U120 BL</v>
          </cell>
          <cell r="D60" t="str">
            <v>C¸i</v>
          </cell>
          <cell r="E60">
            <v>1</v>
          </cell>
          <cell r="F60">
            <v>1.5</v>
          </cell>
          <cell r="G60">
            <v>122000</v>
          </cell>
        </row>
        <row r="61">
          <cell r="B61" t="str">
            <v>MN2-6</v>
          </cell>
          <cell r="C61" t="str">
            <v>M¾t nèi 2 ch©n MN2-6</v>
          </cell>
          <cell r="D61" t="str">
            <v>C¸i</v>
          </cell>
          <cell r="E61">
            <v>1</v>
          </cell>
          <cell r="F61">
            <v>1.5</v>
          </cell>
          <cell r="G61">
            <v>12500</v>
          </cell>
        </row>
        <row r="62">
          <cell r="B62" t="str">
            <v>MN2-9</v>
          </cell>
          <cell r="C62" t="str">
            <v>M¾t nèi 2 ch©n MN2-9</v>
          </cell>
          <cell r="D62" t="str">
            <v>C¸i</v>
          </cell>
          <cell r="E62">
            <v>1</v>
          </cell>
          <cell r="F62">
            <v>1.5</v>
          </cell>
          <cell r="G62">
            <v>15500</v>
          </cell>
        </row>
        <row r="63">
          <cell r="B63" t="str">
            <v>MN2-12</v>
          </cell>
          <cell r="C63" t="str">
            <v>M¾t nèi 2 ch©n MN2-12</v>
          </cell>
          <cell r="D63" t="str">
            <v>C¸i</v>
          </cell>
          <cell r="E63">
            <v>1</v>
          </cell>
          <cell r="F63">
            <v>1.5</v>
          </cell>
          <cell r="G63">
            <v>21500</v>
          </cell>
        </row>
        <row r="64">
          <cell r="B64" t="str">
            <v>MN1-6</v>
          </cell>
          <cell r="C64" t="str">
            <v>M¾t nèi ®¬n MN1-6</v>
          </cell>
          <cell r="D64" t="str">
            <v>C¸i</v>
          </cell>
          <cell r="E64">
            <v>1</v>
          </cell>
          <cell r="F64">
            <v>1.5</v>
          </cell>
          <cell r="G64">
            <v>10000</v>
          </cell>
        </row>
        <row r="65">
          <cell r="B65" t="str">
            <v>MN1-9</v>
          </cell>
          <cell r="C65" t="str">
            <v>M¾t nèi ®¬n MN1-9</v>
          </cell>
          <cell r="D65" t="str">
            <v>C¸i</v>
          </cell>
          <cell r="E65">
            <v>1</v>
          </cell>
          <cell r="F65">
            <v>1.5</v>
          </cell>
          <cell r="G65">
            <v>13000</v>
          </cell>
        </row>
        <row r="66">
          <cell r="B66" t="str">
            <v>MN1-12</v>
          </cell>
          <cell r="C66" t="str">
            <v>M¾t nèi ®¬n MN1-12</v>
          </cell>
          <cell r="D66" t="str">
            <v>C¸i</v>
          </cell>
          <cell r="E66">
            <v>1</v>
          </cell>
          <cell r="F66">
            <v>1.5</v>
          </cell>
          <cell r="G66">
            <v>16000</v>
          </cell>
        </row>
        <row r="67">
          <cell r="B67" t="str">
            <v>NR-6</v>
          </cell>
          <cell r="C67" t="str">
            <v>M¾t nèi l¾p r¸p NR-6</v>
          </cell>
          <cell r="D67" t="str">
            <v>C¸i</v>
          </cell>
          <cell r="E67">
            <v>1</v>
          </cell>
          <cell r="F67">
            <v>1.5</v>
          </cell>
          <cell r="G67">
            <v>18125</v>
          </cell>
        </row>
        <row r="68">
          <cell r="B68" t="str">
            <v>NG-6</v>
          </cell>
          <cell r="C68" t="str">
            <v>M¾t nèi trung gian NG-6</v>
          </cell>
          <cell r="D68" t="str">
            <v>C¸i</v>
          </cell>
          <cell r="E68">
            <v>1</v>
          </cell>
          <cell r="F68">
            <v>1.5</v>
          </cell>
          <cell r="G68">
            <v>7500</v>
          </cell>
        </row>
        <row r="69">
          <cell r="B69" t="str">
            <v>N1-912</v>
          </cell>
          <cell r="C69" t="str">
            <v>Khãa nÐo d©y dÉn N1-912</v>
          </cell>
          <cell r="D69" t="str">
            <v>C¸i</v>
          </cell>
          <cell r="E69">
            <v>1</v>
          </cell>
          <cell r="F69">
            <v>1.5</v>
          </cell>
          <cell r="G69">
            <v>23000</v>
          </cell>
        </row>
        <row r="70">
          <cell r="B70" t="str">
            <v>N1-158</v>
          </cell>
          <cell r="C70" t="str">
            <v>Khãa nÐo d©y dÉn N-158</v>
          </cell>
          <cell r="D70" t="str">
            <v>C¸i</v>
          </cell>
          <cell r="E70">
            <v>1</v>
          </cell>
          <cell r="F70">
            <v>1.5</v>
          </cell>
          <cell r="G70">
            <v>30000</v>
          </cell>
        </row>
        <row r="71">
          <cell r="B71" t="str">
            <v>N1-357</v>
          </cell>
          <cell r="C71" t="str">
            <v>Khãa nÐo d©y dÉn N1-357</v>
          </cell>
          <cell r="D71" t="str">
            <v>C¸i</v>
          </cell>
          <cell r="E71">
            <v>1</v>
          </cell>
          <cell r="F71">
            <v>1.5</v>
          </cell>
          <cell r="G71">
            <v>35000</v>
          </cell>
        </row>
        <row r="72">
          <cell r="B72" t="str">
            <v>§1-912</v>
          </cell>
          <cell r="C72" t="str">
            <v>Khãa ®ì d©y dÉn §1-912</v>
          </cell>
          <cell r="D72" t="str">
            <v>C¸i</v>
          </cell>
          <cell r="E72">
            <v>1</v>
          </cell>
          <cell r="F72">
            <v>1.5</v>
          </cell>
          <cell r="G72">
            <v>21625</v>
          </cell>
        </row>
        <row r="73">
          <cell r="B73" t="str">
            <v>§1-158</v>
          </cell>
          <cell r="C73" t="str">
            <v>Khãa ®ì d©y dÉn §1-158</v>
          </cell>
          <cell r="D73" t="str">
            <v>C¸i</v>
          </cell>
          <cell r="E73">
            <v>1</v>
          </cell>
          <cell r="F73">
            <v>1.5</v>
          </cell>
          <cell r="G73">
            <v>30000</v>
          </cell>
        </row>
        <row r="74">
          <cell r="B74" t="str">
            <v>KIII-7-2b</v>
          </cell>
          <cell r="C74" t="str">
            <v>Côm b¾t khãa ®ì KIII-7-2b</v>
          </cell>
          <cell r="D74" t="str">
            <v>C¸i</v>
          </cell>
          <cell r="E74">
            <v>1</v>
          </cell>
          <cell r="F74">
            <v>1.5</v>
          </cell>
          <cell r="G74">
            <v>26800</v>
          </cell>
        </row>
        <row r="75">
          <cell r="B75" t="str">
            <v>K§-CS</v>
          </cell>
          <cell r="C75" t="str">
            <v>Khãa ®ì d©y chèng sÐt DS 357</v>
          </cell>
          <cell r="D75" t="str">
            <v>C¸i</v>
          </cell>
          <cell r="E75">
            <v>1</v>
          </cell>
          <cell r="F75">
            <v>1.5</v>
          </cell>
          <cell r="G75">
            <v>58496</v>
          </cell>
        </row>
        <row r="76">
          <cell r="B76" t="str">
            <v>3IIC-35-3</v>
          </cell>
          <cell r="C76" t="str">
            <v>§Çu kÑp d©y nèi ®Êt 3IIC-35-3</v>
          </cell>
          <cell r="D76" t="str">
            <v>C¸i</v>
          </cell>
          <cell r="E76">
            <v>1</v>
          </cell>
          <cell r="F76">
            <v>1.5</v>
          </cell>
          <cell r="G76">
            <v>58496</v>
          </cell>
        </row>
        <row r="77">
          <cell r="B77" t="str">
            <v>KN-CS</v>
          </cell>
          <cell r="C77" t="str">
            <v>Khãa nÐo d©y chèng sÐt NN-6</v>
          </cell>
          <cell r="D77" t="str">
            <v>C¸i</v>
          </cell>
          <cell r="E77">
            <v>1</v>
          </cell>
          <cell r="F77">
            <v>1.5</v>
          </cell>
          <cell r="G77">
            <v>61496</v>
          </cell>
        </row>
        <row r="78">
          <cell r="B78" t="str">
            <v>3IIC-50-3</v>
          </cell>
          <cell r="C78" t="str">
            <v>§Çu kÑp d©y nèi ®Êt 3IIC-50-3</v>
          </cell>
          <cell r="D78" t="str">
            <v>C¸i</v>
          </cell>
          <cell r="E78">
            <v>1</v>
          </cell>
          <cell r="F78">
            <v>1.5</v>
          </cell>
          <cell r="G78">
            <v>58496</v>
          </cell>
        </row>
        <row r="79">
          <cell r="B79" t="str">
            <v>KNDB-38</v>
          </cell>
          <cell r="C79" t="str">
            <v>Kho¸ nÐo cho d©y bäc XLPE-38</v>
          </cell>
          <cell r="D79" t="str">
            <v>C¸i</v>
          </cell>
          <cell r="E79">
            <v>1</v>
          </cell>
          <cell r="F79">
            <v>1.5</v>
          </cell>
          <cell r="G79">
            <v>474000</v>
          </cell>
        </row>
        <row r="80">
          <cell r="B80" t="str">
            <v>KNDB-50</v>
          </cell>
          <cell r="C80" t="str">
            <v>Kho¸ nÐo cho d©y bäc XLPE-50</v>
          </cell>
          <cell r="D80" t="str">
            <v>C¸i</v>
          </cell>
          <cell r="E80">
            <v>1</v>
          </cell>
          <cell r="F80">
            <v>1.5</v>
          </cell>
          <cell r="G80">
            <v>504000</v>
          </cell>
        </row>
        <row r="81">
          <cell r="B81" t="str">
            <v>KNDB-70</v>
          </cell>
          <cell r="C81" t="str">
            <v>Kho¸ nÐo cho d©y bäc XLPE-70</v>
          </cell>
          <cell r="D81" t="str">
            <v>C¸i</v>
          </cell>
          <cell r="E81">
            <v>1</v>
          </cell>
          <cell r="F81">
            <v>1.5</v>
          </cell>
          <cell r="G81">
            <v>576000</v>
          </cell>
        </row>
        <row r="82">
          <cell r="B82" t="str">
            <v>KNDB-95</v>
          </cell>
          <cell r="C82" t="str">
            <v>Kho¸ nÐo cho d©y bäc XLPE-95</v>
          </cell>
          <cell r="D82" t="str">
            <v>C¸i</v>
          </cell>
          <cell r="E82">
            <v>1</v>
          </cell>
          <cell r="F82">
            <v>1.5</v>
          </cell>
          <cell r="G82">
            <v>648000</v>
          </cell>
        </row>
        <row r="83">
          <cell r="B83" t="str">
            <v>KNDB-120</v>
          </cell>
          <cell r="C83" t="str">
            <v>Kho¸ nÐo cho d©y bäc XLPE-120</v>
          </cell>
          <cell r="D83" t="str">
            <v>C¸i</v>
          </cell>
          <cell r="E83">
            <v>1</v>
          </cell>
          <cell r="F83">
            <v>1.5</v>
          </cell>
          <cell r="G83">
            <v>720000</v>
          </cell>
        </row>
        <row r="84">
          <cell r="B84" t="str">
            <v>KNDB-150</v>
          </cell>
          <cell r="C84" t="str">
            <v>Kho¸ nÐo cho d©y bäc XLPE-150</v>
          </cell>
          <cell r="D84" t="str">
            <v>C¸i</v>
          </cell>
          <cell r="E84">
            <v>1</v>
          </cell>
          <cell r="F84">
            <v>1.5</v>
          </cell>
          <cell r="G84">
            <v>765000</v>
          </cell>
        </row>
        <row r="85">
          <cell r="B85" t="str">
            <v>KNDB-185</v>
          </cell>
          <cell r="C85" t="str">
            <v>Kho¸ nÐo cho d©y bäc XLPE-185</v>
          </cell>
          <cell r="D85" t="str">
            <v>C¸i</v>
          </cell>
          <cell r="E85">
            <v>1</v>
          </cell>
          <cell r="F85">
            <v>1.5</v>
          </cell>
          <cell r="G85">
            <v>810000</v>
          </cell>
        </row>
        <row r="86">
          <cell r="B86" t="str">
            <v>KNDB-240</v>
          </cell>
          <cell r="C86" t="str">
            <v>Kho¸ nÐo cho d©y bäc XLPE-240</v>
          </cell>
          <cell r="D86" t="str">
            <v>C¸i</v>
          </cell>
          <cell r="E86">
            <v>1</v>
          </cell>
          <cell r="F86">
            <v>1.5</v>
          </cell>
          <cell r="G86">
            <v>855000</v>
          </cell>
        </row>
        <row r="87">
          <cell r="C87" t="str">
            <v>èng nèi d©y</v>
          </cell>
        </row>
        <row r="88">
          <cell r="B88" t="str">
            <v>COCA-240</v>
          </cell>
          <cell r="C88" t="str">
            <v>èng nèi d©y A240</v>
          </cell>
          <cell r="D88" t="str">
            <v>C¸i</v>
          </cell>
          <cell r="E88">
            <v>1</v>
          </cell>
          <cell r="F88">
            <v>0.87</v>
          </cell>
          <cell r="G88">
            <v>213570</v>
          </cell>
        </row>
        <row r="89">
          <cell r="B89" t="str">
            <v>COCA-185</v>
          </cell>
          <cell r="C89" t="str">
            <v>èng nèi d©y A185</v>
          </cell>
          <cell r="D89" t="str">
            <v>C¸i</v>
          </cell>
          <cell r="E89">
            <v>1</v>
          </cell>
          <cell r="F89">
            <v>0.87</v>
          </cell>
          <cell r="G89">
            <v>172000</v>
          </cell>
        </row>
        <row r="90">
          <cell r="B90" t="str">
            <v>COCA-185</v>
          </cell>
          <cell r="C90" t="str">
            <v>èng nèi d©y A185</v>
          </cell>
          <cell r="D90" t="str">
            <v>C¸i</v>
          </cell>
          <cell r="E90">
            <v>1</v>
          </cell>
          <cell r="F90">
            <v>0.87</v>
          </cell>
          <cell r="G90">
            <v>159000</v>
          </cell>
        </row>
        <row r="91">
          <cell r="B91" t="str">
            <v>COCA-150</v>
          </cell>
          <cell r="C91" t="str">
            <v>èng nèi d©y A150</v>
          </cell>
          <cell r="D91" t="str">
            <v>C¸i</v>
          </cell>
          <cell r="E91">
            <v>1</v>
          </cell>
          <cell r="F91">
            <v>0.87</v>
          </cell>
          <cell r="G91">
            <v>121000</v>
          </cell>
        </row>
        <row r="92">
          <cell r="B92" t="str">
            <v>COCA-120</v>
          </cell>
          <cell r="C92" t="str">
            <v>èng nèi d©y A120</v>
          </cell>
          <cell r="D92" t="str">
            <v>C¸i</v>
          </cell>
          <cell r="E92">
            <v>1</v>
          </cell>
          <cell r="F92">
            <v>0.87</v>
          </cell>
          <cell r="G92">
            <v>91000</v>
          </cell>
        </row>
        <row r="93">
          <cell r="B93" t="str">
            <v>COCA-95</v>
          </cell>
          <cell r="C93" t="str">
            <v>èng nèi d©y A95</v>
          </cell>
          <cell r="D93" t="str">
            <v>C¸i</v>
          </cell>
          <cell r="E93">
            <v>1</v>
          </cell>
          <cell r="F93">
            <v>0.87</v>
          </cell>
          <cell r="G93">
            <v>49000</v>
          </cell>
        </row>
        <row r="94">
          <cell r="B94" t="str">
            <v>COCA-70</v>
          </cell>
          <cell r="C94" t="str">
            <v>èng nèi d©y A70</v>
          </cell>
          <cell r="D94" t="str">
            <v>C¸i</v>
          </cell>
          <cell r="E94">
            <v>1</v>
          </cell>
          <cell r="F94">
            <v>0.87</v>
          </cell>
          <cell r="G94">
            <v>35000</v>
          </cell>
        </row>
        <row r="95">
          <cell r="B95" t="str">
            <v>COCA-50</v>
          </cell>
          <cell r="C95" t="str">
            <v>èng nèi d©y A50</v>
          </cell>
          <cell r="D95" t="str">
            <v>C¸i</v>
          </cell>
          <cell r="E95">
            <v>1</v>
          </cell>
          <cell r="F95">
            <v>0.87</v>
          </cell>
          <cell r="G95">
            <v>28000</v>
          </cell>
        </row>
        <row r="96">
          <cell r="B96" t="str">
            <v>CCA-3.185/240</v>
          </cell>
          <cell r="C96" t="str">
            <v>KÑp c¸p nh«m</v>
          </cell>
          <cell r="D96" t="str">
            <v>C¸i</v>
          </cell>
          <cell r="E96">
            <v>1</v>
          </cell>
          <cell r="F96">
            <v>0.5</v>
          </cell>
          <cell r="G96">
            <v>31500</v>
          </cell>
        </row>
        <row r="97">
          <cell r="B97" t="str">
            <v>CCA-3.150/240</v>
          </cell>
          <cell r="C97" t="str">
            <v>Lo¹i CCA-3.240</v>
          </cell>
          <cell r="D97" t="str">
            <v>C¸i</v>
          </cell>
          <cell r="E97">
            <v>1</v>
          </cell>
          <cell r="F97">
            <v>0.5</v>
          </cell>
          <cell r="G97">
            <v>31500</v>
          </cell>
        </row>
        <row r="98">
          <cell r="B98" t="str">
            <v>CCA-3.240</v>
          </cell>
          <cell r="C98" t="str">
            <v>CÆp c¸p nh«m 3 lç CCA-3.240</v>
          </cell>
          <cell r="D98" t="str">
            <v>C¸i</v>
          </cell>
          <cell r="E98">
            <v>1</v>
          </cell>
          <cell r="F98">
            <v>0.5</v>
          </cell>
          <cell r="G98">
            <v>31500</v>
          </cell>
        </row>
        <row r="99">
          <cell r="B99" t="str">
            <v>CCA-3.240/185</v>
          </cell>
          <cell r="C99" t="str">
            <v>CÆp c¸p nh«m 3 lç CCA-3.240/185</v>
          </cell>
          <cell r="D99" t="str">
            <v>C¸i</v>
          </cell>
          <cell r="E99">
            <v>1</v>
          </cell>
          <cell r="F99">
            <v>0.5</v>
          </cell>
          <cell r="G99">
            <v>31500</v>
          </cell>
        </row>
        <row r="100">
          <cell r="B100" t="str">
            <v>CCA-3.240/150</v>
          </cell>
          <cell r="C100" t="str">
            <v>CÆp c¸p nh«m 3 lç CCA-3.240/150</v>
          </cell>
          <cell r="D100" t="str">
            <v>C¸i</v>
          </cell>
          <cell r="E100">
            <v>1</v>
          </cell>
          <cell r="F100">
            <v>0.5</v>
          </cell>
          <cell r="G100">
            <v>31500</v>
          </cell>
        </row>
        <row r="101">
          <cell r="B101" t="str">
            <v>CCA-3.240/120</v>
          </cell>
          <cell r="C101" t="str">
            <v>CÆp c¸p nh«m 3 lç CCA-3.240/120</v>
          </cell>
          <cell r="D101" t="str">
            <v>C¸i</v>
          </cell>
          <cell r="E101">
            <v>1</v>
          </cell>
          <cell r="F101">
            <v>0.5</v>
          </cell>
          <cell r="G101">
            <v>31500</v>
          </cell>
        </row>
        <row r="102">
          <cell r="B102" t="str">
            <v>CCA-3.240/95</v>
          </cell>
          <cell r="C102" t="str">
            <v>CÆp c¸p nh«m 3 lç CCA-3.240/95</v>
          </cell>
          <cell r="D102" t="str">
            <v>C¸i</v>
          </cell>
          <cell r="E102">
            <v>1</v>
          </cell>
          <cell r="F102">
            <v>0.5</v>
          </cell>
          <cell r="G102">
            <v>31500</v>
          </cell>
        </row>
        <row r="103">
          <cell r="B103" t="str">
            <v>CCA-3.240/70</v>
          </cell>
          <cell r="C103" t="str">
            <v>CÆp c¸p nh«m 3 lç CCA-3.240/70</v>
          </cell>
          <cell r="D103" t="str">
            <v>C¸i</v>
          </cell>
          <cell r="E103">
            <v>1</v>
          </cell>
          <cell r="F103">
            <v>0.5</v>
          </cell>
          <cell r="G103">
            <v>31500</v>
          </cell>
        </row>
        <row r="104">
          <cell r="B104" t="str">
            <v>CCA-3.240/50</v>
          </cell>
          <cell r="C104" t="str">
            <v>CÆp c¸p nh«m 3 lç CCA-3.240/50</v>
          </cell>
          <cell r="D104" t="str">
            <v>C¸i</v>
          </cell>
          <cell r="E104">
            <v>1</v>
          </cell>
          <cell r="F104">
            <v>0.5</v>
          </cell>
          <cell r="G104">
            <v>31500</v>
          </cell>
        </row>
        <row r="105">
          <cell r="B105" t="str">
            <v>CCA-3.185/240</v>
          </cell>
          <cell r="C105" t="str">
            <v>CÆp c¸p nh«m 3 lç CCA-3.185/240</v>
          </cell>
          <cell r="D105" t="str">
            <v>C¸i</v>
          </cell>
          <cell r="E105">
            <v>1</v>
          </cell>
          <cell r="F105">
            <v>0.5</v>
          </cell>
          <cell r="G105">
            <v>31500</v>
          </cell>
        </row>
        <row r="106">
          <cell r="B106" t="str">
            <v>CCA-3.150/240</v>
          </cell>
          <cell r="C106" t="str">
            <v>CÆp c¸p nh«m 3 lç CCA-3.150/240</v>
          </cell>
          <cell r="D106" t="str">
            <v>C¸i</v>
          </cell>
          <cell r="E106">
            <v>1</v>
          </cell>
          <cell r="F106">
            <v>0.5</v>
          </cell>
          <cell r="G106">
            <v>31500</v>
          </cell>
        </row>
        <row r="107">
          <cell r="B107" t="str">
            <v>CCA-3.120/240</v>
          </cell>
          <cell r="C107" t="str">
            <v>CÆp c¸p nh«m 3 lç CCA-3.120/240</v>
          </cell>
          <cell r="D107" t="str">
            <v>C¸i</v>
          </cell>
          <cell r="E107">
            <v>1</v>
          </cell>
          <cell r="F107">
            <v>0.5</v>
          </cell>
          <cell r="G107">
            <v>31500</v>
          </cell>
        </row>
        <row r="108">
          <cell r="B108" t="str">
            <v>CCA-3.95/240</v>
          </cell>
          <cell r="C108" t="str">
            <v>CÆp c¸p nh«m 3 lç CCA-3.95/240</v>
          </cell>
          <cell r="D108" t="str">
            <v>C¸i</v>
          </cell>
          <cell r="E108">
            <v>1</v>
          </cell>
          <cell r="F108">
            <v>0.5</v>
          </cell>
          <cell r="G108">
            <v>31500</v>
          </cell>
        </row>
        <row r="109">
          <cell r="B109" t="str">
            <v>CCA-3.70/240</v>
          </cell>
          <cell r="C109" t="str">
            <v>CÆp c¸p nh«m 3 lç CCA-3.70/240</v>
          </cell>
          <cell r="D109" t="str">
            <v>C¸i</v>
          </cell>
          <cell r="E109">
            <v>1</v>
          </cell>
          <cell r="F109">
            <v>0.5</v>
          </cell>
          <cell r="G109">
            <v>31500</v>
          </cell>
        </row>
        <row r="110">
          <cell r="B110" t="str">
            <v>CCA-3.50/240</v>
          </cell>
          <cell r="C110" t="str">
            <v>CÆp c¸p nh«m 3 lç CCA-3.50/240</v>
          </cell>
          <cell r="D110" t="str">
            <v>C¸i</v>
          </cell>
          <cell r="E110">
            <v>1</v>
          </cell>
          <cell r="F110">
            <v>0.5</v>
          </cell>
          <cell r="G110">
            <v>31500</v>
          </cell>
        </row>
        <row r="111">
          <cell r="B111" t="str">
            <v>CCA-3.95/185</v>
          </cell>
          <cell r="C111" t="str">
            <v>Lo¹i CCA-3.185</v>
          </cell>
          <cell r="D111" t="str">
            <v>C¸i</v>
          </cell>
          <cell r="E111">
            <v>1</v>
          </cell>
          <cell r="F111">
            <v>0.5</v>
          </cell>
          <cell r="G111">
            <v>28000</v>
          </cell>
        </row>
        <row r="112">
          <cell r="B112" t="str">
            <v>CCA-3.185</v>
          </cell>
          <cell r="C112" t="str">
            <v>CÆp c¸p nh«m 3 lç CCA-3.185</v>
          </cell>
          <cell r="D112" t="str">
            <v>C¸i</v>
          </cell>
          <cell r="E112">
            <v>1</v>
          </cell>
          <cell r="F112">
            <v>0.5</v>
          </cell>
          <cell r="G112">
            <v>28000</v>
          </cell>
        </row>
        <row r="113">
          <cell r="B113" t="str">
            <v>CCA-3.185/150</v>
          </cell>
          <cell r="C113" t="str">
            <v>CÆp c¸p nh«m 3 lç CCA-3.185/150</v>
          </cell>
          <cell r="D113" t="str">
            <v>C¸i</v>
          </cell>
          <cell r="E113">
            <v>1</v>
          </cell>
          <cell r="F113">
            <v>0.5</v>
          </cell>
          <cell r="G113">
            <v>28000</v>
          </cell>
        </row>
        <row r="114">
          <cell r="B114" t="str">
            <v>CCA-3.185/120</v>
          </cell>
          <cell r="C114" t="str">
            <v>CÆp c¸p nh«m 3 lç CCA-3.185/120</v>
          </cell>
          <cell r="D114" t="str">
            <v>C¸i</v>
          </cell>
          <cell r="E114">
            <v>1</v>
          </cell>
          <cell r="F114">
            <v>0.5</v>
          </cell>
          <cell r="G114">
            <v>28000</v>
          </cell>
        </row>
        <row r="115">
          <cell r="B115" t="str">
            <v>CCA-3.185/95</v>
          </cell>
          <cell r="C115" t="str">
            <v>CÆp c¸p nh«m 3 lç CCA-3.185/95</v>
          </cell>
          <cell r="D115" t="str">
            <v>C¸i</v>
          </cell>
          <cell r="E115">
            <v>1</v>
          </cell>
          <cell r="F115">
            <v>0.5</v>
          </cell>
          <cell r="G115">
            <v>28000</v>
          </cell>
        </row>
        <row r="116">
          <cell r="B116" t="str">
            <v>CCA-3.185/70</v>
          </cell>
          <cell r="C116" t="str">
            <v>CÆp c¸p nh«m 3 lç CCA-3.185/70</v>
          </cell>
          <cell r="D116" t="str">
            <v>C¸i</v>
          </cell>
          <cell r="E116">
            <v>1</v>
          </cell>
          <cell r="F116">
            <v>0.5</v>
          </cell>
          <cell r="G116">
            <v>28000</v>
          </cell>
        </row>
        <row r="117">
          <cell r="B117" t="str">
            <v>CCA-3.185/50</v>
          </cell>
          <cell r="C117" t="str">
            <v>CÆp c¸p nh«m 3 lç CCA-3.185/50</v>
          </cell>
          <cell r="D117" t="str">
            <v>C¸i</v>
          </cell>
          <cell r="E117">
            <v>1</v>
          </cell>
          <cell r="F117">
            <v>0.5</v>
          </cell>
          <cell r="G117">
            <v>28000</v>
          </cell>
        </row>
        <row r="118">
          <cell r="B118" t="str">
            <v>CCA-3.150/185</v>
          </cell>
          <cell r="C118" t="str">
            <v>CÆp c¸p nh«m 3 lç CCA-3.150/185</v>
          </cell>
          <cell r="D118" t="str">
            <v>C¸i</v>
          </cell>
          <cell r="E118">
            <v>1</v>
          </cell>
          <cell r="F118">
            <v>0.5</v>
          </cell>
          <cell r="G118">
            <v>28000</v>
          </cell>
        </row>
        <row r="119">
          <cell r="B119" t="str">
            <v>CCA-3.120/185</v>
          </cell>
          <cell r="C119" t="str">
            <v>CÆp c¸p nh«m 3 lç CCA-3.120/185</v>
          </cell>
          <cell r="D119" t="str">
            <v>C¸i</v>
          </cell>
          <cell r="E119">
            <v>1</v>
          </cell>
          <cell r="F119">
            <v>0.5</v>
          </cell>
          <cell r="G119">
            <v>28000</v>
          </cell>
        </row>
        <row r="120">
          <cell r="B120" t="str">
            <v>CCA-3.95/185</v>
          </cell>
          <cell r="C120" t="str">
            <v>CÆp c¸p nh«m 3 lç CCA-3.95/185</v>
          </cell>
          <cell r="D120" t="str">
            <v>C¸i</v>
          </cell>
          <cell r="E120">
            <v>1</v>
          </cell>
          <cell r="F120">
            <v>0.5</v>
          </cell>
          <cell r="G120">
            <v>28000</v>
          </cell>
        </row>
        <row r="121">
          <cell r="B121" t="str">
            <v>CCA-3.70/185</v>
          </cell>
          <cell r="C121" t="str">
            <v>CÆp c¸p nh«m 3 lç CCA-3.70/185</v>
          </cell>
          <cell r="D121" t="str">
            <v>C¸i</v>
          </cell>
          <cell r="E121">
            <v>1</v>
          </cell>
          <cell r="F121">
            <v>0.5</v>
          </cell>
          <cell r="G121">
            <v>28000</v>
          </cell>
        </row>
        <row r="122">
          <cell r="B122" t="str">
            <v>CCA-3.50/185</v>
          </cell>
          <cell r="C122" t="str">
            <v>CÆp c¸p nh«m 3 lç CCA-3.50/185</v>
          </cell>
          <cell r="D122" t="str">
            <v>C¸i</v>
          </cell>
          <cell r="E122">
            <v>1</v>
          </cell>
          <cell r="F122">
            <v>0.5</v>
          </cell>
          <cell r="G122">
            <v>28000</v>
          </cell>
        </row>
        <row r="123">
          <cell r="B123" t="str">
            <v>CCA-3.50/150</v>
          </cell>
          <cell r="C123" t="str">
            <v>Lo¹i  CCA-3.150</v>
          </cell>
          <cell r="D123" t="str">
            <v>C¸i</v>
          </cell>
          <cell r="E123">
            <v>1</v>
          </cell>
          <cell r="F123">
            <v>0.5</v>
          </cell>
          <cell r="G123">
            <v>25000</v>
          </cell>
        </row>
        <row r="124">
          <cell r="B124" t="str">
            <v>CCA-3.150</v>
          </cell>
          <cell r="C124" t="str">
            <v>CÆp c¸p nh«m 3 lç CCA-3.150</v>
          </cell>
          <cell r="D124" t="str">
            <v>C¸i</v>
          </cell>
          <cell r="E124">
            <v>1</v>
          </cell>
          <cell r="F124">
            <v>0.5</v>
          </cell>
          <cell r="G124">
            <v>25000</v>
          </cell>
        </row>
        <row r="125">
          <cell r="B125" t="str">
            <v>CCA-3.150/120</v>
          </cell>
          <cell r="C125" t="str">
            <v>CÆp c¸p nh«m 3 lç CCA-3.150/120</v>
          </cell>
          <cell r="D125" t="str">
            <v>C¸i</v>
          </cell>
          <cell r="E125">
            <v>1</v>
          </cell>
          <cell r="F125">
            <v>0.5</v>
          </cell>
          <cell r="G125">
            <v>25000</v>
          </cell>
        </row>
        <row r="126">
          <cell r="B126" t="str">
            <v>CCA-3.150/95</v>
          </cell>
          <cell r="C126" t="str">
            <v>CÆp c¸p nh«m 3 lç CCA-3.150/95</v>
          </cell>
          <cell r="D126" t="str">
            <v>C¸i</v>
          </cell>
          <cell r="E126">
            <v>1</v>
          </cell>
          <cell r="F126">
            <v>0.5</v>
          </cell>
          <cell r="G126">
            <v>25000</v>
          </cell>
        </row>
        <row r="127">
          <cell r="B127" t="str">
            <v>CCA-3.150/70</v>
          </cell>
          <cell r="C127" t="str">
            <v>CÆp c¸p nh«m 3 lç CCA-3.150/70</v>
          </cell>
          <cell r="D127" t="str">
            <v>C¸i</v>
          </cell>
          <cell r="E127">
            <v>1</v>
          </cell>
          <cell r="F127">
            <v>0.5</v>
          </cell>
          <cell r="G127">
            <v>25000</v>
          </cell>
        </row>
        <row r="128">
          <cell r="B128" t="str">
            <v>CCA-3.150/50</v>
          </cell>
          <cell r="C128" t="str">
            <v>CÆp c¸p nh«m 3 lç CCA-3.150/50</v>
          </cell>
          <cell r="D128" t="str">
            <v>C¸i</v>
          </cell>
          <cell r="E128">
            <v>1</v>
          </cell>
          <cell r="F128">
            <v>0.5</v>
          </cell>
          <cell r="G128">
            <v>25000</v>
          </cell>
        </row>
        <row r="129">
          <cell r="B129" t="str">
            <v>CCA-3.120/150</v>
          </cell>
          <cell r="C129" t="str">
            <v>CÆp c¸p nh«m 3 lç CCA-3.120/150</v>
          </cell>
          <cell r="D129" t="str">
            <v>C¸i</v>
          </cell>
          <cell r="E129">
            <v>1</v>
          </cell>
          <cell r="F129">
            <v>0.5</v>
          </cell>
          <cell r="G129">
            <v>25000</v>
          </cell>
        </row>
        <row r="130">
          <cell r="B130" t="str">
            <v>CCA-3.95/150</v>
          </cell>
          <cell r="C130" t="str">
            <v>CÆp c¸p nh«m 3 lç CCA-3.95/150</v>
          </cell>
          <cell r="D130" t="str">
            <v>C¸i</v>
          </cell>
          <cell r="E130">
            <v>1</v>
          </cell>
          <cell r="F130">
            <v>0.5</v>
          </cell>
          <cell r="G130">
            <v>25000</v>
          </cell>
        </row>
        <row r="131">
          <cell r="B131" t="str">
            <v>CCA-3.70/150</v>
          </cell>
          <cell r="C131" t="str">
            <v>CÆp c¸p nh«m 3 lç CCA-3.70/150</v>
          </cell>
          <cell r="D131" t="str">
            <v>C¸i</v>
          </cell>
          <cell r="E131">
            <v>1</v>
          </cell>
          <cell r="F131">
            <v>0.5</v>
          </cell>
          <cell r="G131">
            <v>25000</v>
          </cell>
        </row>
        <row r="132">
          <cell r="B132" t="str">
            <v>CCA-3.50/150</v>
          </cell>
          <cell r="C132" t="str">
            <v>CÆp c¸p nh«m 3 lç CCA-3.50/150</v>
          </cell>
          <cell r="D132" t="str">
            <v>C¸i</v>
          </cell>
          <cell r="E132">
            <v>1</v>
          </cell>
          <cell r="F132">
            <v>0.5</v>
          </cell>
          <cell r="G132">
            <v>25000</v>
          </cell>
        </row>
        <row r="133">
          <cell r="B133" t="str">
            <v>CCA-3.95</v>
          </cell>
          <cell r="C133" t="str">
            <v>Lo¹i  CCA-3.120</v>
          </cell>
          <cell r="D133" t="str">
            <v>C¸i</v>
          </cell>
          <cell r="E133">
            <v>1</v>
          </cell>
          <cell r="F133">
            <v>0.5</v>
          </cell>
          <cell r="G133">
            <v>15000</v>
          </cell>
        </row>
        <row r="134">
          <cell r="B134" t="str">
            <v>CCA-3.120</v>
          </cell>
          <cell r="C134" t="str">
            <v>CÆp c¸p nh«m 3 lç CCA-3.120</v>
          </cell>
          <cell r="D134" t="str">
            <v>C¸i</v>
          </cell>
          <cell r="E134">
            <v>1</v>
          </cell>
          <cell r="F134">
            <v>0.5</v>
          </cell>
          <cell r="G134">
            <v>22000</v>
          </cell>
        </row>
        <row r="135">
          <cell r="B135" t="str">
            <v>CCA-3.120/95</v>
          </cell>
          <cell r="C135" t="str">
            <v>CÆp c¸p nh«m 3 lç CCA-3.120/95</v>
          </cell>
          <cell r="D135" t="str">
            <v>C¸i</v>
          </cell>
          <cell r="E135">
            <v>1</v>
          </cell>
          <cell r="F135">
            <v>0.5</v>
          </cell>
          <cell r="G135">
            <v>22000</v>
          </cell>
        </row>
        <row r="136">
          <cell r="B136" t="str">
            <v>CCA-3.120/70</v>
          </cell>
          <cell r="C136" t="str">
            <v>CÆp c¸p nh«m 3 lç CCA-3.120/70</v>
          </cell>
          <cell r="D136" t="str">
            <v>C¸i</v>
          </cell>
          <cell r="E136">
            <v>1</v>
          </cell>
          <cell r="F136">
            <v>0.5</v>
          </cell>
          <cell r="G136">
            <v>22000</v>
          </cell>
        </row>
        <row r="137">
          <cell r="B137" t="str">
            <v>CCA-3.120/50</v>
          </cell>
          <cell r="C137" t="str">
            <v>CÆp c¸p nh«m 3 lç CCA-3.120/50</v>
          </cell>
          <cell r="D137" t="str">
            <v>C¸i</v>
          </cell>
          <cell r="E137">
            <v>1</v>
          </cell>
          <cell r="F137">
            <v>0.5</v>
          </cell>
          <cell r="G137">
            <v>22000</v>
          </cell>
        </row>
        <row r="138">
          <cell r="B138" t="str">
            <v>CCA-3.95/120</v>
          </cell>
          <cell r="C138" t="str">
            <v>CÆp c¸p nh«m 3 lç CCA-3.95/120</v>
          </cell>
          <cell r="D138" t="str">
            <v>C¸i</v>
          </cell>
          <cell r="E138">
            <v>1</v>
          </cell>
          <cell r="F138">
            <v>0.5</v>
          </cell>
          <cell r="G138">
            <v>22000</v>
          </cell>
        </row>
        <row r="139">
          <cell r="B139" t="str">
            <v>CCA-3.70/120</v>
          </cell>
          <cell r="C139" t="str">
            <v>CÆp c¸p nh«m 3 lç CCA-3.70/120</v>
          </cell>
          <cell r="D139" t="str">
            <v>C¸i</v>
          </cell>
          <cell r="E139">
            <v>1</v>
          </cell>
          <cell r="F139">
            <v>0.5</v>
          </cell>
          <cell r="G139">
            <v>22000</v>
          </cell>
        </row>
        <row r="140">
          <cell r="B140" t="str">
            <v>CCA-3.50/120</v>
          </cell>
          <cell r="C140" t="str">
            <v>CÆp c¸p nh«m 3 lç CCA-3.50/120</v>
          </cell>
          <cell r="D140" t="str">
            <v>C¸i</v>
          </cell>
          <cell r="E140">
            <v>1</v>
          </cell>
          <cell r="F140">
            <v>0.5</v>
          </cell>
          <cell r="G140">
            <v>22000</v>
          </cell>
        </row>
        <row r="141">
          <cell r="B141" t="str">
            <v>CCA-3.50/70</v>
          </cell>
          <cell r="C141" t="str">
            <v>Lo¹i  CCA-3.95</v>
          </cell>
          <cell r="D141" t="str">
            <v>C¸i</v>
          </cell>
          <cell r="E141">
            <v>1</v>
          </cell>
          <cell r="F141">
            <v>0.5</v>
          </cell>
          <cell r="G141">
            <v>12000</v>
          </cell>
        </row>
        <row r="142">
          <cell r="B142" t="str">
            <v>CCA-3.95</v>
          </cell>
          <cell r="C142" t="str">
            <v>CÆp c¸p nh«m 3 lç CCA-3.95</v>
          </cell>
          <cell r="D142" t="str">
            <v>C¸i</v>
          </cell>
          <cell r="E142">
            <v>1</v>
          </cell>
          <cell r="F142">
            <v>0.5</v>
          </cell>
          <cell r="G142">
            <v>15000</v>
          </cell>
        </row>
        <row r="143">
          <cell r="B143" t="str">
            <v>CCA-3.95/70</v>
          </cell>
          <cell r="C143" t="str">
            <v>CÆp c¸p nh«m 3 lç CCA-3.95/70</v>
          </cell>
          <cell r="D143" t="str">
            <v>C¸i</v>
          </cell>
          <cell r="E143">
            <v>1</v>
          </cell>
          <cell r="F143">
            <v>0.5</v>
          </cell>
          <cell r="G143">
            <v>15000</v>
          </cell>
        </row>
        <row r="144">
          <cell r="B144" t="str">
            <v>CCA-3.95/50</v>
          </cell>
          <cell r="C144" t="str">
            <v>CÆp c¸p nh«m 3 lç CCA-3.95/50</v>
          </cell>
          <cell r="D144" t="str">
            <v>C¸i</v>
          </cell>
          <cell r="E144">
            <v>1</v>
          </cell>
          <cell r="F144">
            <v>0.5</v>
          </cell>
          <cell r="G144">
            <v>15000</v>
          </cell>
        </row>
        <row r="145">
          <cell r="B145" t="str">
            <v>CCA-3.70/95</v>
          </cell>
          <cell r="C145" t="str">
            <v>CÆp c¸p nh«m 3 lç CCA-3.70/95</v>
          </cell>
          <cell r="D145" t="str">
            <v>C¸i</v>
          </cell>
          <cell r="E145">
            <v>1</v>
          </cell>
          <cell r="F145">
            <v>0.5</v>
          </cell>
          <cell r="G145">
            <v>15000</v>
          </cell>
        </row>
        <row r="146">
          <cell r="B146" t="str">
            <v>CCA-3.50/95</v>
          </cell>
          <cell r="C146" t="str">
            <v>CÆp c¸p nh«m 3 lç CCA-3.50/95</v>
          </cell>
          <cell r="D146" t="str">
            <v>C¸i</v>
          </cell>
          <cell r="E146">
            <v>1</v>
          </cell>
          <cell r="F146">
            <v>0.5</v>
          </cell>
          <cell r="G146">
            <v>15000</v>
          </cell>
        </row>
        <row r="147">
          <cell r="B147" t="str">
            <v>KNO-240/150</v>
          </cell>
          <cell r="C147" t="str">
            <v>Lo¹i  CCA-3.70</v>
          </cell>
          <cell r="D147" t="str">
            <v>C¸i</v>
          </cell>
          <cell r="E147">
            <v>1</v>
          </cell>
          <cell r="F147">
            <v>0.5</v>
          </cell>
          <cell r="G147">
            <v>31500</v>
          </cell>
        </row>
        <row r="148">
          <cell r="B148" t="str">
            <v>CCA-3.70</v>
          </cell>
          <cell r="C148" t="str">
            <v>CÆp c¸p nh«m 3 lç CCA-3.70</v>
          </cell>
          <cell r="D148" t="str">
            <v>C¸i</v>
          </cell>
          <cell r="E148">
            <v>1</v>
          </cell>
          <cell r="F148">
            <v>0.5</v>
          </cell>
          <cell r="G148">
            <v>12000</v>
          </cell>
        </row>
        <row r="149">
          <cell r="B149" t="str">
            <v>CCA-3.70/50</v>
          </cell>
          <cell r="C149" t="str">
            <v>CÆp c¸p nh«m 3 lç CCA-3.70/50</v>
          </cell>
          <cell r="D149" t="str">
            <v>C¸i</v>
          </cell>
          <cell r="E149">
            <v>1</v>
          </cell>
          <cell r="F149">
            <v>0.5</v>
          </cell>
          <cell r="G149">
            <v>12000</v>
          </cell>
        </row>
        <row r="150">
          <cell r="B150" t="str">
            <v>CCA-3.50/70</v>
          </cell>
          <cell r="C150" t="str">
            <v>CÆp c¸p nh«m 3 lç CCA-3.50/70</v>
          </cell>
          <cell r="D150" t="str">
            <v>C¸i</v>
          </cell>
          <cell r="E150">
            <v>1</v>
          </cell>
          <cell r="F150">
            <v>0.5</v>
          </cell>
          <cell r="G150">
            <v>12000</v>
          </cell>
        </row>
        <row r="151">
          <cell r="B151" t="str">
            <v>KNO-240/50</v>
          </cell>
          <cell r="C151" t="str">
            <v>Lo¹i  CCA-3.50</v>
          </cell>
          <cell r="D151" t="str">
            <v>C¸i</v>
          </cell>
          <cell r="E151">
            <v>1</v>
          </cell>
          <cell r="F151">
            <v>0.5</v>
          </cell>
          <cell r="G151">
            <v>31500</v>
          </cell>
        </row>
        <row r="152">
          <cell r="B152" t="str">
            <v>CCA-3.50</v>
          </cell>
          <cell r="C152" t="str">
            <v>CÆp c¸p nh«m 3 lç CCA-3.50</v>
          </cell>
          <cell r="D152" t="str">
            <v>C¸i</v>
          </cell>
          <cell r="E152">
            <v>1</v>
          </cell>
          <cell r="F152">
            <v>0.5</v>
          </cell>
          <cell r="G152">
            <v>9000</v>
          </cell>
        </row>
        <row r="153">
          <cell r="B153" t="str">
            <v>KNO-150/240</v>
          </cell>
          <cell r="C153" t="str">
            <v>Lo¹i KNO-240</v>
          </cell>
          <cell r="D153" t="str">
            <v>C¸i</v>
          </cell>
          <cell r="E153">
            <v>1</v>
          </cell>
          <cell r="F153">
            <v>0.5</v>
          </cell>
          <cell r="G153">
            <v>31500</v>
          </cell>
        </row>
        <row r="154">
          <cell r="B154" t="str">
            <v>KNO-240</v>
          </cell>
          <cell r="C154" t="str">
            <v>CÆp c¸p nh«m 3 lç KNO-240</v>
          </cell>
          <cell r="D154" t="str">
            <v>C¸i</v>
          </cell>
          <cell r="E154">
            <v>1</v>
          </cell>
          <cell r="F154">
            <v>0.5</v>
          </cell>
          <cell r="G154">
            <v>31500</v>
          </cell>
        </row>
        <row r="155">
          <cell r="B155" t="str">
            <v>KNO-240/185</v>
          </cell>
          <cell r="C155" t="str">
            <v>CÆp c¸p nh«m 3 lç KNO-240/185</v>
          </cell>
          <cell r="D155" t="str">
            <v>C¸i</v>
          </cell>
          <cell r="E155">
            <v>1</v>
          </cell>
          <cell r="F155">
            <v>0.5</v>
          </cell>
          <cell r="G155">
            <v>31500</v>
          </cell>
        </row>
        <row r="156">
          <cell r="B156" t="str">
            <v>KNO-240/150</v>
          </cell>
          <cell r="C156" t="str">
            <v>CÆp c¸p nh«m 3 lç KNO-240/150</v>
          </cell>
          <cell r="D156" t="str">
            <v>C¸i</v>
          </cell>
          <cell r="E156">
            <v>1</v>
          </cell>
          <cell r="F156">
            <v>0.5</v>
          </cell>
          <cell r="G156">
            <v>31500</v>
          </cell>
        </row>
        <row r="157">
          <cell r="B157" t="str">
            <v>KNO-240/120</v>
          </cell>
          <cell r="C157" t="str">
            <v>CÆp c¸p nh«m 3 lç KNO-240/120</v>
          </cell>
          <cell r="D157" t="str">
            <v>C¸i</v>
          </cell>
          <cell r="E157">
            <v>1</v>
          </cell>
          <cell r="F157">
            <v>0.5</v>
          </cell>
          <cell r="G157">
            <v>31500</v>
          </cell>
        </row>
        <row r="158">
          <cell r="B158" t="str">
            <v>KNO-240/95</v>
          </cell>
          <cell r="C158" t="str">
            <v>CÆp c¸p nh«m 3 lç KNO-240/95</v>
          </cell>
          <cell r="D158" t="str">
            <v>C¸i</v>
          </cell>
          <cell r="E158">
            <v>1</v>
          </cell>
          <cell r="F158">
            <v>0.5</v>
          </cell>
          <cell r="G158">
            <v>31500</v>
          </cell>
        </row>
        <row r="159">
          <cell r="B159" t="str">
            <v>KNO-240/70</v>
          </cell>
          <cell r="C159" t="str">
            <v>CÆp c¸p nh«m 3 lç KNO-240/70</v>
          </cell>
          <cell r="D159" t="str">
            <v>C¸i</v>
          </cell>
          <cell r="E159">
            <v>1</v>
          </cell>
          <cell r="F159">
            <v>0.5</v>
          </cell>
          <cell r="G159">
            <v>31500</v>
          </cell>
        </row>
        <row r="160">
          <cell r="B160" t="str">
            <v>KNO-240/50</v>
          </cell>
          <cell r="C160" t="str">
            <v>CÆp c¸p nh«m 3 lç KNO-240/50</v>
          </cell>
          <cell r="D160" t="str">
            <v>C¸i</v>
          </cell>
          <cell r="E160">
            <v>1</v>
          </cell>
          <cell r="F160">
            <v>0.5</v>
          </cell>
          <cell r="G160">
            <v>31500</v>
          </cell>
        </row>
        <row r="161">
          <cell r="B161" t="str">
            <v>KNO-185/240</v>
          </cell>
          <cell r="C161" t="str">
            <v>CÆp c¸p nh«m 3 lç KNO-185/240</v>
          </cell>
          <cell r="D161" t="str">
            <v>C¸i</v>
          </cell>
          <cell r="E161">
            <v>1</v>
          </cell>
          <cell r="F161">
            <v>0.5</v>
          </cell>
          <cell r="G161">
            <v>31500</v>
          </cell>
        </row>
        <row r="162">
          <cell r="B162" t="str">
            <v>KNO-150/240</v>
          </cell>
          <cell r="C162" t="str">
            <v>CÆp c¸p nh«m 3 lç KNO-150/240</v>
          </cell>
          <cell r="D162" t="str">
            <v>C¸i</v>
          </cell>
          <cell r="E162">
            <v>1</v>
          </cell>
          <cell r="F162">
            <v>0.5</v>
          </cell>
          <cell r="G162">
            <v>31500</v>
          </cell>
        </row>
        <row r="163">
          <cell r="B163" t="str">
            <v>KNO-120/240</v>
          </cell>
          <cell r="C163" t="str">
            <v>CÆp c¸p nh«m 3 lç KNO-120/240</v>
          </cell>
          <cell r="D163" t="str">
            <v>C¸i</v>
          </cell>
          <cell r="E163">
            <v>1</v>
          </cell>
          <cell r="F163">
            <v>0.5</v>
          </cell>
          <cell r="G163">
            <v>31500</v>
          </cell>
        </row>
        <row r="164">
          <cell r="B164" t="str">
            <v>KNO-95/240</v>
          </cell>
          <cell r="C164" t="str">
            <v>CÆp c¸p nh«m 3 lç KNO-95/240</v>
          </cell>
          <cell r="D164" t="str">
            <v>C¸i</v>
          </cell>
          <cell r="E164">
            <v>1</v>
          </cell>
          <cell r="F164">
            <v>0.5</v>
          </cell>
          <cell r="G164">
            <v>31500</v>
          </cell>
        </row>
        <row r="165">
          <cell r="B165" t="str">
            <v>KNO-70/240</v>
          </cell>
          <cell r="C165" t="str">
            <v>CÆp c¸p nh«m 3 lç KNO-70/240</v>
          </cell>
          <cell r="D165" t="str">
            <v>C¸i</v>
          </cell>
          <cell r="E165">
            <v>1</v>
          </cell>
          <cell r="F165">
            <v>0.5</v>
          </cell>
          <cell r="G165">
            <v>31500</v>
          </cell>
        </row>
        <row r="166">
          <cell r="B166" t="str">
            <v>KNO-50/240</v>
          </cell>
          <cell r="C166" t="str">
            <v>CÆp c¸p nh«m 3 lç KNO-50/240</v>
          </cell>
          <cell r="D166" t="str">
            <v>C¸i</v>
          </cell>
          <cell r="E166">
            <v>1</v>
          </cell>
          <cell r="F166">
            <v>0.5</v>
          </cell>
          <cell r="G166">
            <v>31500</v>
          </cell>
        </row>
        <row r="167">
          <cell r="B167" t="str">
            <v>KNO-95/185</v>
          </cell>
          <cell r="C167" t="str">
            <v>Lo¹i KNO-185</v>
          </cell>
          <cell r="D167" t="str">
            <v>C¸i</v>
          </cell>
          <cell r="E167">
            <v>1</v>
          </cell>
          <cell r="F167">
            <v>0.5</v>
          </cell>
          <cell r="G167">
            <v>28000</v>
          </cell>
        </row>
        <row r="168">
          <cell r="B168" t="str">
            <v>KNO-185</v>
          </cell>
          <cell r="C168" t="str">
            <v>CÆp c¸p nh«m 3 lç KNO-185</v>
          </cell>
          <cell r="D168" t="str">
            <v>C¸i</v>
          </cell>
          <cell r="E168">
            <v>1</v>
          </cell>
          <cell r="F168">
            <v>0.5</v>
          </cell>
          <cell r="G168">
            <v>28000</v>
          </cell>
        </row>
        <row r="169">
          <cell r="B169" t="str">
            <v>KNO-185/150</v>
          </cell>
          <cell r="C169" t="str">
            <v>CÆp c¸p nh«m 3 lç KNO-185/150</v>
          </cell>
          <cell r="D169" t="str">
            <v>C¸i</v>
          </cell>
          <cell r="E169">
            <v>1</v>
          </cell>
          <cell r="F169">
            <v>0.5</v>
          </cell>
          <cell r="G169">
            <v>28000</v>
          </cell>
        </row>
        <row r="170">
          <cell r="B170" t="str">
            <v>KNO-185/120</v>
          </cell>
          <cell r="C170" t="str">
            <v>CÆp c¸p nh«m 3 lç KNO-185/120</v>
          </cell>
          <cell r="D170" t="str">
            <v>C¸i</v>
          </cell>
          <cell r="E170">
            <v>1</v>
          </cell>
          <cell r="F170">
            <v>0.5</v>
          </cell>
          <cell r="G170">
            <v>28000</v>
          </cell>
        </row>
        <row r="171">
          <cell r="B171" t="str">
            <v>KNO-185/95</v>
          </cell>
          <cell r="C171" t="str">
            <v>CÆp c¸p nh«m 3 lç KNO-185/95</v>
          </cell>
          <cell r="D171" t="str">
            <v>C¸i</v>
          </cell>
          <cell r="E171">
            <v>1</v>
          </cell>
          <cell r="F171">
            <v>0.5</v>
          </cell>
          <cell r="G171">
            <v>28000</v>
          </cell>
        </row>
        <row r="172">
          <cell r="B172" t="str">
            <v>KNO-185/70</v>
          </cell>
          <cell r="C172" t="str">
            <v>CÆp c¸p nh«m 3 lç KNO-185/70</v>
          </cell>
          <cell r="D172" t="str">
            <v>C¸i</v>
          </cell>
          <cell r="E172">
            <v>1</v>
          </cell>
          <cell r="F172">
            <v>0.5</v>
          </cell>
          <cell r="G172">
            <v>28000</v>
          </cell>
        </row>
        <row r="173">
          <cell r="B173" t="str">
            <v>KNO-185/50</v>
          </cell>
          <cell r="C173" t="str">
            <v>CÆp c¸p nh«m 3 lç KNO-185/50</v>
          </cell>
          <cell r="D173" t="str">
            <v>C¸i</v>
          </cell>
          <cell r="E173">
            <v>1</v>
          </cell>
          <cell r="F173">
            <v>0.5</v>
          </cell>
          <cell r="G173">
            <v>28000</v>
          </cell>
        </row>
        <row r="174">
          <cell r="B174" t="str">
            <v>KNO-150/185</v>
          </cell>
          <cell r="C174" t="str">
            <v>CÆp c¸p nh«m 3 lç KNO-150/185</v>
          </cell>
          <cell r="D174" t="str">
            <v>C¸i</v>
          </cell>
          <cell r="E174">
            <v>1</v>
          </cell>
          <cell r="F174">
            <v>0.5</v>
          </cell>
          <cell r="G174">
            <v>28000</v>
          </cell>
        </row>
        <row r="175">
          <cell r="B175" t="str">
            <v>KNO-120/185</v>
          </cell>
          <cell r="C175" t="str">
            <v>CÆp c¸p nh«m 3 lç KNO-120/185</v>
          </cell>
          <cell r="D175" t="str">
            <v>C¸i</v>
          </cell>
          <cell r="E175">
            <v>1</v>
          </cell>
          <cell r="F175">
            <v>0.5</v>
          </cell>
          <cell r="G175">
            <v>28000</v>
          </cell>
        </row>
        <row r="176">
          <cell r="B176" t="str">
            <v>KNO-95/185</v>
          </cell>
          <cell r="C176" t="str">
            <v>CÆp c¸p nh«m 3 lç KNO-95/185</v>
          </cell>
          <cell r="D176" t="str">
            <v>C¸i</v>
          </cell>
          <cell r="E176">
            <v>1</v>
          </cell>
          <cell r="F176">
            <v>0.5</v>
          </cell>
          <cell r="G176">
            <v>28000</v>
          </cell>
        </row>
        <row r="177">
          <cell r="B177" t="str">
            <v>KNO-70/185</v>
          </cell>
          <cell r="C177" t="str">
            <v>CÆp c¸p nh«m 3 lç KNO-70/185</v>
          </cell>
          <cell r="D177" t="str">
            <v>C¸i</v>
          </cell>
          <cell r="E177">
            <v>1</v>
          </cell>
          <cell r="F177">
            <v>0.5</v>
          </cell>
          <cell r="G177">
            <v>28000</v>
          </cell>
        </row>
        <row r="178">
          <cell r="B178" t="str">
            <v>KNO-50/185</v>
          </cell>
          <cell r="C178" t="str">
            <v>CÆp c¸p nh«m 3 lç KNO-50/185</v>
          </cell>
          <cell r="D178" t="str">
            <v>C¸i</v>
          </cell>
          <cell r="E178">
            <v>1</v>
          </cell>
          <cell r="F178">
            <v>0.5</v>
          </cell>
          <cell r="G178">
            <v>28000</v>
          </cell>
        </row>
        <row r="179">
          <cell r="B179" t="str">
            <v>KNO-50/150</v>
          </cell>
          <cell r="C179" t="str">
            <v>Lo¹i  KNO-150</v>
          </cell>
          <cell r="D179" t="str">
            <v>C¸i</v>
          </cell>
          <cell r="E179">
            <v>1</v>
          </cell>
          <cell r="F179">
            <v>0.5</v>
          </cell>
          <cell r="G179">
            <v>25000</v>
          </cell>
        </row>
        <row r="180">
          <cell r="B180" t="str">
            <v>KNO-150</v>
          </cell>
          <cell r="C180" t="str">
            <v>CÆp c¸p nh«m 3 lç KNO-150</v>
          </cell>
          <cell r="D180" t="str">
            <v>C¸i</v>
          </cell>
          <cell r="E180">
            <v>1</v>
          </cell>
          <cell r="F180">
            <v>0.5</v>
          </cell>
          <cell r="G180">
            <v>25000</v>
          </cell>
        </row>
        <row r="181">
          <cell r="B181" t="str">
            <v>KNO-150/120</v>
          </cell>
          <cell r="C181" t="str">
            <v>CÆp c¸p nh«m 3 lç KNO-150/120</v>
          </cell>
          <cell r="D181" t="str">
            <v>C¸i</v>
          </cell>
          <cell r="E181">
            <v>1</v>
          </cell>
          <cell r="F181">
            <v>0.5</v>
          </cell>
          <cell r="G181">
            <v>25000</v>
          </cell>
        </row>
        <row r="182">
          <cell r="B182" t="str">
            <v>KNO-150/95</v>
          </cell>
          <cell r="C182" t="str">
            <v>CÆp c¸p nh«m 3 lç KNO-150/95</v>
          </cell>
          <cell r="D182" t="str">
            <v>C¸i</v>
          </cell>
          <cell r="E182">
            <v>1</v>
          </cell>
          <cell r="F182">
            <v>0.5</v>
          </cell>
          <cell r="G182">
            <v>25000</v>
          </cell>
        </row>
        <row r="183">
          <cell r="B183" t="str">
            <v>KNO-150/70</v>
          </cell>
          <cell r="C183" t="str">
            <v>CÆp c¸p nh«m 3 lç KNO-150/70</v>
          </cell>
          <cell r="D183" t="str">
            <v>C¸i</v>
          </cell>
          <cell r="E183">
            <v>1</v>
          </cell>
          <cell r="F183">
            <v>0.5</v>
          </cell>
          <cell r="G183">
            <v>25000</v>
          </cell>
        </row>
        <row r="184">
          <cell r="B184" t="str">
            <v>KNO-150/50</v>
          </cell>
          <cell r="C184" t="str">
            <v>CÆp c¸p nh«m 3 lç KNO-150/50</v>
          </cell>
          <cell r="D184" t="str">
            <v>C¸i</v>
          </cell>
          <cell r="E184">
            <v>1</v>
          </cell>
          <cell r="F184">
            <v>0.5</v>
          </cell>
          <cell r="G184">
            <v>25000</v>
          </cell>
        </row>
        <row r="185">
          <cell r="B185" t="str">
            <v>KNO-120/150</v>
          </cell>
          <cell r="C185" t="str">
            <v>CÆp c¸p nh«m 3 lç KNO-120/150</v>
          </cell>
          <cell r="D185" t="str">
            <v>C¸i</v>
          </cell>
          <cell r="E185">
            <v>1</v>
          </cell>
          <cell r="F185">
            <v>0.5</v>
          </cell>
          <cell r="G185">
            <v>25000</v>
          </cell>
        </row>
        <row r="186">
          <cell r="B186" t="str">
            <v>KNO-95/150</v>
          </cell>
          <cell r="C186" t="str">
            <v>CÆp c¸p nh«m 3 lç KNO-95/150</v>
          </cell>
          <cell r="D186" t="str">
            <v>C¸i</v>
          </cell>
          <cell r="E186">
            <v>1</v>
          </cell>
          <cell r="F186">
            <v>0.5</v>
          </cell>
          <cell r="G186">
            <v>25000</v>
          </cell>
        </row>
        <row r="187">
          <cell r="B187" t="str">
            <v>KNO-70/150</v>
          </cell>
          <cell r="C187" t="str">
            <v>CÆp c¸p nh«m 3 lç KNO-70/150</v>
          </cell>
          <cell r="D187" t="str">
            <v>C¸i</v>
          </cell>
          <cell r="E187">
            <v>1</v>
          </cell>
          <cell r="F187">
            <v>0.5</v>
          </cell>
          <cell r="G187">
            <v>25000</v>
          </cell>
        </row>
        <row r="188">
          <cell r="B188" t="str">
            <v>KNO-50/150</v>
          </cell>
          <cell r="C188" t="str">
            <v>CÆp c¸p nh«m 3 lç KNO-50/150</v>
          </cell>
          <cell r="D188" t="str">
            <v>C¸i</v>
          </cell>
          <cell r="E188">
            <v>1</v>
          </cell>
          <cell r="F188">
            <v>0.5</v>
          </cell>
          <cell r="G188">
            <v>25000</v>
          </cell>
        </row>
        <row r="189">
          <cell r="B189" t="str">
            <v>KNO-95</v>
          </cell>
          <cell r="C189" t="str">
            <v>Lo¹i  KNO-120</v>
          </cell>
          <cell r="D189" t="str">
            <v>C¸i</v>
          </cell>
          <cell r="E189">
            <v>1</v>
          </cell>
          <cell r="F189">
            <v>0.5</v>
          </cell>
          <cell r="G189">
            <v>15000</v>
          </cell>
        </row>
        <row r="190">
          <cell r="B190" t="str">
            <v>KNO-120</v>
          </cell>
          <cell r="C190" t="str">
            <v>CÆp c¸p nh«m 3 lç KNO-120</v>
          </cell>
          <cell r="D190" t="str">
            <v>C¸i</v>
          </cell>
          <cell r="E190">
            <v>1</v>
          </cell>
          <cell r="F190">
            <v>0.5</v>
          </cell>
          <cell r="G190">
            <v>22000</v>
          </cell>
        </row>
        <row r="191">
          <cell r="B191" t="str">
            <v>KNO-120/95</v>
          </cell>
          <cell r="C191" t="str">
            <v>CÆp c¸p nh«m 3 lç KNO-120/95</v>
          </cell>
          <cell r="D191" t="str">
            <v>C¸i</v>
          </cell>
          <cell r="E191">
            <v>1</v>
          </cell>
          <cell r="F191">
            <v>0.5</v>
          </cell>
          <cell r="G191">
            <v>22000</v>
          </cell>
        </row>
        <row r="192">
          <cell r="B192" t="str">
            <v>KNO-120/70</v>
          </cell>
          <cell r="C192" t="str">
            <v>CÆp c¸p nh«m 3 lç KNO-120/70</v>
          </cell>
          <cell r="D192" t="str">
            <v>C¸i</v>
          </cell>
          <cell r="E192">
            <v>1</v>
          </cell>
          <cell r="F192">
            <v>0.5</v>
          </cell>
          <cell r="G192">
            <v>22000</v>
          </cell>
        </row>
        <row r="193">
          <cell r="B193" t="str">
            <v>KNO-120/50</v>
          </cell>
          <cell r="C193" t="str">
            <v>CÆp c¸p nh«m 3 lç KNO-120/50</v>
          </cell>
          <cell r="D193" t="str">
            <v>C¸i</v>
          </cell>
          <cell r="E193">
            <v>1</v>
          </cell>
          <cell r="F193">
            <v>0.5</v>
          </cell>
          <cell r="G193">
            <v>22000</v>
          </cell>
        </row>
        <row r="194">
          <cell r="B194" t="str">
            <v>KNO-95/120</v>
          </cell>
          <cell r="C194" t="str">
            <v>CÆp c¸p nh«m 3 lç KNO-95/120</v>
          </cell>
          <cell r="D194" t="str">
            <v>C¸i</v>
          </cell>
          <cell r="E194">
            <v>1</v>
          </cell>
          <cell r="F194">
            <v>0.5</v>
          </cell>
          <cell r="G194">
            <v>22000</v>
          </cell>
        </row>
        <row r="195">
          <cell r="B195" t="str">
            <v>KNO-70/120</v>
          </cell>
          <cell r="C195" t="str">
            <v>CÆp c¸p nh«m 3 lç KNO-70/120</v>
          </cell>
          <cell r="D195" t="str">
            <v>C¸i</v>
          </cell>
          <cell r="E195">
            <v>1</v>
          </cell>
          <cell r="F195">
            <v>0.5</v>
          </cell>
          <cell r="G195">
            <v>22000</v>
          </cell>
        </row>
        <row r="196">
          <cell r="B196" t="str">
            <v>KNO-50/120</v>
          </cell>
          <cell r="C196" t="str">
            <v>CÆp c¸p nh«m 3 lç KNO-50/120</v>
          </cell>
          <cell r="D196" t="str">
            <v>C¸i</v>
          </cell>
          <cell r="E196">
            <v>1</v>
          </cell>
          <cell r="F196">
            <v>0.5</v>
          </cell>
          <cell r="G196">
            <v>22000</v>
          </cell>
        </row>
        <row r="197">
          <cell r="B197" t="str">
            <v>KNO-50/70</v>
          </cell>
          <cell r="C197" t="str">
            <v>Lo¹i  KNO-95</v>
          </cell>
          <cell r="D197" t="str">
            <v>C¸i</v>
          </cell>
          <cell r="E197">
            <v>1</v>
          </cell>
          <cell r="F197">
            <v>0.5</v>
          </cell>
          <cell r="G197">
            <v>12000</v>
          </cell>
        </row>
        <row r="198">
          <cell r="B198" t="str">
            <v>KNO-95</v>
          </cell>
          <cell r="C198" t="str">
            <v>CÆp c¸p nh«m 3 lç KNO-95</v>
          </cell>
          <cell r="D198" t="str">
            <v>C¸i</v>
          </cell>
          <cell r="E198">
            <v>1</v>
          </cell>
          <cell r="F198">
            <v>0.5</v>
          </cell>
          <cell r="G198">
            <v>15000</v>
          </cell>
        </row>
        <row r="199">
          <cell r="B199" t="str">
            <v>KNO-95/70</v>
          </cell>
          <cell r="C199" t="str">
            <v>CÆp c¸p nh«m 3 lç KNO-95/70</v>
          </cell>
          <cell r="D199" t="str">
            <v>C¸i</v>
          </cell>
          <cell r="E199">
            <v>1</v>
          </cell>
          <cell r="F199">
            <v>0.5</v>
          </cell>
          <cell r="G199">
            <v>15000</v>
          </cell>
        </row>
        <row r="200">
          <cell r="B200" t="str">
            <v>KNO-95/50</v>
          </cell>
          <cell r="C200" t="str">
            <v>CÆp c¸p nh«m 3 lç KNO-95/50</v>
          </cell>
          <cell r="D200" t="str">
            <v>C¸i</v>
          </cell>
          <cell r="E200">
            <v>1</v>
          </cell>
          <cell r="F200">
            <v>0.5</v>
          </cell>
          <cell r="G200">
            <v>15000</v>
          </cell>
        </row>
        <row r="201">
          <cell r="B201" t="str">
            <v>KNO-70/95</v>
          </cell>
          <cell r="C201" t="str">
            <v>CÆp c¸p nh«m 3 lç KNO-70/95</v>
          </cell>
          <cell r="D201" t="str">
            <v>C¸i</v>
          </cell>
          <cell r="E201">
            <v>1</v>
          </cell>
          <cell r="F201">
            <v>0.5</v>
          </cell>
          <cell r="G201">
            <v>15000</v>
          </cell>
        </row>
        <row r="202">
          <cell r="B202" t="str">
            <v>KNO-50/95</v>
          </cell>
          <cell r="C202" t="str">
            <v>CÆp c¸p nh«m 3 lç KNO-50/95</v>
          </cell>
          <cell r="D202" t="str">
            <v>C¸i</v>
          </cell>
          <cell r="E202">
            <v>1</v>
          </cell>
          <cell r="F202">
            <v>0.5</v>
          </cell>
          <cell r="G202">
            <v>15000</v>
          </cell>
        </row>
        <row r="203">
          <cell r="B203" t="str">
            <v>CCM-A-3.240/185</v>
          </cell>
          <cell r="C203" t="str">
            <v>Lo¹i  KNO-70</v>
          </cell>
          <cell r="D203" t="str">
            <v>C¸i</v>
          </cell>
          <cell r="E203">
            <v>1</v>
          </cell>
          <cell r="F203">
            <v>0.5</v>
          </cell>
          <cell r="G203">
            <v>41500</v>
          </cell>
        </row>
        <row r="204">
          <cell r="B204" t="str">
            <v>KNO-70</v>
          </cell>
          <cell r="C204" t="str">
            <v>CÆp c¸p nh«m 3 lç KNO-70</v>
          </cell>
          <cell r="D204" t="str">
            <v>C¸i</v>
          </cell>
          <cell r="E204">
            <v>1</v>
          </cell>
          <cell r="F204">
            <v>0.5</v>
          </cell>
          <cell r="G204">
            <v>12000</v>
          </cell>
        </row>
        <row r="205">
          <cell r="B205" t="str">
            <v>KNO-70/50</v>
          </cell>
          <cell r="C205" t="str">
            <v>CÆp c¸p nh«m 3 lç KNO-70/50</v>
          </cell>
          <cell r="D205" t="str">
            <v>C¸i</v>
          </cell>
          <cell r="E205">
            <v>1</v>
          </cell>
          <cell r="F205">
            <v>0.5</v>
          </cell>
          <cell r="G205">
            <v>12000</v>
          </cell>
        </row>
        <row r="206">
          <cell r="B206" t="str">
            <v>KNO-50/70</v>
          </cell>
          <cell r="C206" t="str">
            <v>CÆp c¸p nh«m 3 lç KNO-50/70</v>
          </cell>
          <cell r="D206" t="str">
            <v>C¸i</v>
          </cell>
          <cell r="E206">
            <v>1</v>
          </cell>
          <cell r="F206">
            <v>0.5</v>
          </cell>
          <cell r="G206">
            <v>12000</v>
          </cell>
        </row>
        <row r="207">
          <cell r="B207" t="str">
            <v>CCM-A-3.240/70</v>
          </cell>
          <cell r="C207" t="str">
            <v>Lo¹i  KNO-50</v>
          </cell>
          <cell r="D207" t="str">
            <v>C¸i</v>
          </cell>
          <cell r="E207">
            <v>1</v>
          </cell>
          <cell r="F207">
            <v>0.5</v>
          </cell>
          <cell r="G207">
            <v>41500</v>
          </cell>
        </row>
        <row r="208">
          <cell r="B208" t="str">
            <v>KNO-50</v>
          </cell>
          <cell r="C208" t="str">
            <v>CÆp c¸p nh«m 3 lç KNO-50</v>
          </cell>
          <cell r="D208" t="str">
            <v>C¸i</v>
          </cell>
          <cell r="E208">
            <v>1</v>
          </cell>
          <cell r="F208">
            <v>0.5</v>
          </cell>
          <cell r="G208">
            <v>9000</v>
          </cell>
        </row>
        <row r="209">
          <cell r="B209" t="str">
            <v>CCM-A-3.185/240</v>
          </cell>
          <cell r="C209" t="str">
            <v>KÑp c¸p ®ång nh«m</v>
          </cell>
          <cell r="D209" t="str">
            <v>C¸i</v>
          </cell>
          <cell r="E209">
            <v>1</v>
          </cell>
          <cell r="F209">
            <v>0.5</v>
          </cell>
          <cell r="G209">
            <v>41500</v>
          </cell>
        </row>
        <row r="210">
          <cell r="B210" t="str">
            <v>CCM-A-3.150/240</v>
          </cell>
          <cell r="C210" t="str">
            <v>Lo¹i CCM-A-3.240</v>
          </cell>
          <cell r="D210" t="str">
            <v>C¸i</v>
          </cell>
          <cell r="E210">
            <v>1</v>
          </cell>
          <cell r="F210">
            <v>0.5</v>
          </cell>
          <cell r="G210">
            <v>41500</v>
          </cell>
        </row>
        <row r="211">
          <cell r="B211" t="str">
            <v>CCM-A-3.240</v>
          </cell>
          <cell r="C211" t="str">
            <v>CÆp c¸p ®ång nh«m 3 lç CCM-A-3.240</v>
          </cell>
          <cell r="D211" t="str">
            <v>C¸i</v>
          </cell>
          <cell r="E211">
            <v>1</v>
          </cell>
          <cell r="F211">
            <v>0.5</v>
          </cell>
          <cell r="G211">
            <v>41500</v>
          </cell>
        </row>
        <row r="212">
          <cell r="B212" t="str">
            <v>CCM-A-3.240/185</v>
          </cell>
          <cell r="C212" t="str">
            <v>CÆp c¸p ®ång nh«m 3 lç CCM-A-3.240/185</v>
          </cell>
          <cell r="D212" t="str">
            <v>C¸i</v>
          </cell>
          <cell r="E212">
            <v>1</v>
          </cell>
          <cell r="F212">
            <v>0.5</v>
          </cell>
          <cell r="G212">
            <v>41500</v>
          </cell>
        </row>
        <row r="213">
          <cell r="B213" t="str">
            <v>CCM-A-3.240/150</v>
          </cell>
          <cell r="C213" t="str">
            <v>CÆp c¸p ®ång nh«m 3 lç CCM-A-3.240/150</v>
          </cell>
          <cell r="D213" t="str">
            <v>C¸i</v>
          </cell>
          <cell r="E213">
            <v>1</v>
          </cell>
          <cell r="F213">
            <v>0.5</v>
          </cell>
          <cell r="G213">
            <v>41500</v>
          </cell>
        </row>
        <row r="214">
          <cell r="B214" t="str">
            <v>CCM-A-3.240/120</v>
          </cell>
          <cell r="C214" t="str">
            <v>CÆp c¸p ®ång nh«m 3 lç CCM-A-3.240/120</v>
          </cell>
          <cell r="D214" t="str">
            <v>C¸i</v>
          </cell>
          <cell r="E214">
            <v>1</v>
          </cell>
          <cell r="F214">
            <v>0.5</v>
          </cell>
          <cell r="G214">
            <v>41500</v>
          </cell>
        </row>
        <row r="215">
          <cell r="B215" t="str">
            <v>CCM-A-3.240/95</v>
          </cell>
          <cell r="C215" t="str">
            <v>CÆp c¸p ®ång nh«m 3 lç CCM-A-3.240/95</v>
          </cell>
          <cell r="D215" t="str">
            <v>C¸i</v>
          </cell>
          <cell r="E215">
            <v>1</v>
          </cell>
          <cell r="F215">
            <v>0.5</v>
          </cell>
          <cell r="G215">
            <v>41500</v>
          </cell>
        </row>
        <row r="216">
          <cell r="B216" t="str">
            <v>CCM-A-3.240/70</v>
          </cell>
          <cell r="C216" t="str">
            <v>CÆp c¸p ®ång nh«m 3 lç CCM-A-3.240/70</v>
          </cell>
          <cell r="D216" t="str">
            <v>C¸i</v>
          </cell>
          <cell r="E216">
            <v>1</v>
          </cell>
          <cell r="F216">
            <v>0.5</v>
          </cell>
          <cell r="G216">
            <v>41500</v>
          </cell>
        </row>
        <row r="217">
          <cell r="B217" t="str">
            <v>CCM-A-3.240/50</v>
          </cell>
          <cell r="C217" t="str">
            <v>CÆp c¸p ®ång nh«m 3 lç CCM-A-3.240/50</v>
          </cell>
          <cell r="D217" t="str">
            <v>C¸i</v>
          </cell>
          <cell r="E217">
            <v>1</v>
          </cell>
          <cell r="F217">
            <v>0.5</v>
          </cell>
          <cell r="G217">
            <v>41500</v>
          </cell>
        </row>
        <row r="218">
          <cell r="B218" t="str">
            <v>CCM-A-3.185/240</v>
          </cell>
          <cell r="C218" t="str">
            <v>CÆp c¸p ®ång nh«m 3 lç CCM-A-3.185/240</v>
          </cell>
          <cell r="D218" t="str">
            <v>C¸i</v>
          </cell>
          <cell r="E218">
            <v>1</v>
          </cell>
          <cell r="F218">
            <v>0.5</v>
          </cell>
          <cell r="G218">
            <v>41500</v>
          </cell>
        </row>
        <row r="219">
          <cell r="B219" t="str">
            <v>CCM-A-3.150/240</v>
          </cell>
          <cell r="C219" t="str">
            <v>CÆp c¸p ®ång nh«m 3 lç CCM-A-3.150/240</v>
          </cell>
          <cell r="D219" t="str">
            <v>C¸i</v>
          </cell>
          <cell r="E219">
            <v>1</v>
          </cell>
          <cell r="F219">
            <v>0.5</v>
          </cell>
          <cell r="G219">
            <v>41500</v>
          </cell>
        </row>
        <row r="220">
          <cell r="B220" t="str">
            <v>CCM-A-3.120/240</v>
          </cell>
          <cell r="C220" t="str">
            <v>CÆp c¸p ®ång nh«m 3 lç CCM-A-3.120/240</v>
          </cell>
          <cell r="D220" t="str">
            <v>C¸i</v>
          </cell>
          <cell r="E220">
            <v>1</v>
          </cell>
          <cell r="F220">
            <v>0.5</v>
          </cell>
          <cell r="G220">
            <v>41500</v>
          </cell>
        </row>
        <row r="221">
          <cell r="B221" t="str">
            <v>CCM-A-3.95/240</v>
          </cell>
          <cell r="C221" t="str">
            <v>CÆp c¸p ®ång nh«m 3 lç CCM-A-3.95/240</v>
          </cell>
          <cell r="D221" t="str">
            <v>C¸i</v>
          </cell>
          <cell r="E221">
            <v>1</v>
          </cell>
          <cell r="F221">
            <v>0.5</v>
          </cell>
          <cell r="G221">
            <v>41500</v>
          </cell>
        </row>
        <row r="222">
          <cell r="B222" t="str">
            <v>CCM-A-3.70/240</v>
          </cell>
          <cell r="C222" t="str">
            <v>CÆp c¸p ®ång nh«m 3 lç CCM-A-3.70/240</v>
          </cell>
          <cell r="D222" t="str">
            <v>C¸i</v>
          </cell>
          <cell r="E222">
            <v>1</v>
          </cell>
          <cell r="F222">
            <v>0.5</v>
          </cell>
          <cell r="G222">
            <v>41500</v>
          </cell>
        </row>
        <row r="223">
          <cell r="B223" t="str">
            <v>CCM-A-3.50/240</v>
          </cell>
          <cell r="C223" t="str">
            <v>CÆp c¸p ®ång nh«m 3 lç CCM-A-3.50/240</v>
          </cell>
          <cell r="D223" t="str">
            <v>C¸i</v>
          </cell>
          <cell r="E223">
            <v>1</v>
          </cell>
          <cell r="F223">
            <v>0.5</v>
          </cell>
          <cell r="G223">
            <v>41500</v>
          </cell>
        </row>
        <row r="224">
          <cell r="B224" t="str">
            <v>CCM-A-3.95/185</v>
          </cell>
          <cell r="C224" t="str">
            <v>Lo¹i CCM-A-3.185</v>
          </cell>
          <cell r="D224" t="str">
            <v>C¸i</v>
          </cell>
          <cell r="E224">
            <v>1</v>
          </cell>
          <cell r="F224">
            <v>0.5</v>
          </cell>
          <cell r="G224">
            <v>36500</v>
          </cell>
        </row>
        <row r="225">
          <cell r="B225" t="str">
            <v>CCM-A-3.185</v>
          </cell>
          <cell r="C225" t="str">
            <v>CÆp c¸p ®ång nh«m 3 lç CCM-A-3.185</v>
          </cell>
          <cell r="D225" t="str">
            <v>C¸i</v>
          </cell>
          <cell r="E225">
            <v>1</v>
          </cell>
          <cell r="F225">
            <v>0.5</v>
          </cell>
          <cell r="G225">
            <v>36500</v>
          </cell>
        </row>
        <row r="226">
          <cell r="B226" t="str">
            <v>CCM-A-3.185/150</v>
          </cell>
          <cell r="C226" t="str">
            <v>CÆp c¸p ®ång nh«m 3 lç CCM-A-3.185/150</v>
          </cell>
          <cell r="D226" t="str">
            <v>C¸i</v>
          </cell>
          <cell r="E226">
            <v>1</v>
          </cell>
          <cell r="F226">
            <v>0.5</v>
          </cell>
          <cell r="G226">
            <v>36500</v>
          </cell>
        </row>
        <row r="227">
          <cell r="B227" t="str">
            <v>CCM-A-3.185/120</v>
          </cell>
          <cell r="C227" t="str">
            <v>CÆp c¸p ®ång nh«m 3 lç CCM-A-3.185/120</v>
          </cell>
          <cell r="D227" t="str">
            <v>C¸i</v>
          </cell>
          <cell r="E227">
            <v>1</v>
          </cell>
          <cell r="F227">
            <v>0.5</v>
          </cell>
          <cell r="G227">
            <v>36500</v>
          </cell>
        </row>
        <row r="228">
          <cell r="B228" t="str">
            <v>CCM-A-3.185/95</v>
          </cell>
          <cell r="C228" t="str">
            <v>CÆp c¸p ®ång nh«m 3 lç CCM-A-3.185/95</v>
          </cell>
          <cell r="D228" t="str">
            <v>C¸i</v>
          </cell>
          <cell r="E228">
            <v>1</v>
          </cell>
          <cell r="F228">
            <v>0.5</v>
          </cell>
          <cell r="G228">
            <v>36500</v>
          </cell>
        </row>
        <row r="229">
          <cell r="B229" t="str">
            <v>CCM-A-3.185/70</v>
          </cell>
          <cell r="C229" t="str">
            <v>CÆp c¸p ®ång nh«m 3 lç CCM-A-3.185/70</v>
          </cell>
          <cell r="D229" t="str">
            <v>C¸i</v>
          </cell>
          <cell r="E229">
            <v>1</v>
          </cell>
          <cell r="F229">
            <v>0.5</v>
          </cell>
          <cell r="G229">
            <v>36500</v>
          </cell>
        </row>
        <row r="230">
          <cell r="B230" t="str">
            <v>CCM-A-3.185/50</v>
          </cell>
          <cell r="C230" t="str">
            <v>CÆp c¸p ®ång nh«m 3 lç CCM-A-3.185/50</v>
          </cell>
          <cell r="D230" t="str">
            <v>C¸i</v>
          </cell>
          <cell r="E230">
            <v>1</v>
          </cell>
          <cell r="F230">
            <v>0.5</v>
          </cell>
          <cell r="G230">
            <v>36500</v>
          </cell>
        </row>
        <row r="231">
          <cell r="B231" t="str">
            <v>CCM-A-3.150/185</v>
          </cell>
          <cell r="C231" t="str">
            <v>CÆp c¸p ®ång nh«m 3 lç CCM-A-3.150/185</v>
          </cell>
          <cell r="D231" t="str">
            <v>C¸i</v>
          </cell>
          <cell r="E231">
            <v>1</v>
          </cell>
          <cell r="F231">
            <v>0.5</v>
          </cell>
          <cell r="G231">
            <v>36500</v>
          </cell>
        </row>
        <row r="232">
          <cell r="B232" t="str">
            <v>CCM-A-3.120/185</v>
          </cell>
          <cell r="C232" t="str">
            <v>CÆp c¸p ®ång nh«m 3 lç CCM-A-3.120/185</v>
          </cell>
          <cell r="D232" t="str">
            <v>C¸i</v>
          </cell>
          <cell r="E232">
            <v>1</v>
          </cell>
          <cell r="F232">
            <v>0.5</v>
          </cell>
          <cell r="G232">
            <v>36500</v>
          </cell>
        </row>
        <row r="233">
          <cell r="B233" t="str">
            <v>CCM-A-3.95/185</v>
          </cell>
          <cell r="C233" t="str">
            <v>CÆp c¸p ®ång nh«m 3 lç CCM-A-3.95/185</v>
          </cell>
          <cell r="D233" t="str">
            <v>C¸i</v>
          </cell>
          <cell r="E233">
            <v>1</v>
          </cell>
          <cell r="F233">
            <v>0.5</v>
          </cell>
          <cell r="G233">
            <v>36500</v>
          </cell>
        </row>
        <row r="234">
          <cell r="B234" t="str">
            <v>CCM-A-3.70/185</v>
          </cell>
          <cell r="C234" t="str">
            <v>CÆp c¸p ®ång nh«m 3 lç CCM-A-3.70/185</v>
          </cell>
          <cell r="D234" t="str">
            <v>C¸i</v>
          </cell>
          <cell r="E234">
            <v>1</v>
          </cell>
          <cell r="F234">
            <v>0.5</v>
          </cell>
          <cell r="G234">
            <v>36500</v>
          </cell>
        </row>
        <row r="235">
          <cell r="B235" t="str">
            <v>CCM-A-3.50/185</v>
          </cell>
          <cell r="C235" t="str">
            <v>CÆp c¸p ®ång nh«m 3 lç CCM-A-3.50/185</v>
          </cell>
          <cell r="D235" t="str">
            <v>C¸i</v>
          </cell>
          <cell r="E235">
            <v>1</v>
          </cell>
          <cell r="F235">
            <v>0.5</v>
          </cell>
          <cell r="G235">
            <v>36500</v>
          </cell>
        </row>
        <row r="236">
          <cell r="B236" t="str">
            <v>CCM-A-3.50/150</v>
          </cell>
          <cell r="C236" t="str">
            <v>Lo¹i  CCM-A-3.150</v>
          </cell>
          <cell r="D236" t="str">
            <v>C¸i</v>
          </cell>
          <cell r="E236">
            <v>1</v>
          </cell>
          <cell r="F236">
            <v>0.5</v>
          </cell>
          <cell r="G236">
            <v>31500</v>
          </cell>
        </row>
        <row r="237">
          <cell r="B237" t="str">
            <v>CCM-A-3.150</v>
          </cell>
          <cell r="C237" t="str">
            <v>CÆp c¸p ®ång nh«m 3 lç CCM-A-3.150</v>
          </cell>
          <cell r="D237" t="str">
            <v>C¸i</v>
          </cell>
          <cell r="E237">
            <v>1</v>
          </cell>
          <cell r="F237">
            <v>0.5</v>
          </cell>
          <cell r="G237">
            <v>31500</v>
          </cell>
        </row>
        <row r="238">
          <cell r="B238" t="str">
            <v>CCM-A-3.150/120</v>
          </cell>
          <cell r="C238" t="str">
            <v>CÆp c¸p ®ång nh«m 3 lç CCM-A-3.150/120</v>
          </cell>
          <cell r="D238" t="str">
            <v>C¸i</v>
          </cell>
          <cell r="E238">
            <v>1</v>
          </cell>
          <cell r="F238">
            <v>0.5</v>
          </cell>
          <cell r="G238">
            <v>31500</v>
          </cell>
        </row>
        <row r="239">
          <cell r="B239" t="str">
            <v>CCM-A-3.150/95</v>
          </cell>
          <cell r="C239" t="str">
            <v>CÆp c¸p ®ång nh«m 3 lç CCM-A-3.150/95</v>
          </cell>
          <cell r="D239" t="str">
            <v>C¸i</v>
          </cell>
          <cell r="E239">
            <v>1</v>
          </cell>
          <cell r="F239">
            <v>0.5</v>
          </cell>
          <cell r="G239">
            <v>31500</v>
          </cell>
        </row>
        <row r="240">
          <cell r="B240" t="str">
            <v>CCM-A-3.150/70</v>
          </cell>
          <cell r="C240" t="str">
            <v>CÆp c¸p ®ång nh«m 3 lç CCM-A-3.150/70</v>
          </cell>
          <cell r="D240" t="str">
            <v>C¸i</v>
          </cell>
          <cell r="E240">
            <v>1</v>
          </cell>
          <cell r="F240">
            <v>0.5</v>
          </cell>
          <cell r="G240">
            <v>31500</v>
          </cell>
        </row>
        <row r="241">
          <cell r="B241" t="str">
            <v>CCM-A-3.150/50</v>
          </cell>
          <cell r="C241" t="str">
            <v>CÆp c¸p ®ång nh«m 3 lç CCM-A-3.150/50</v>
          </cell>
          <cell r="D241" t="str">
            <v>C¸i</v>
          </cell>
          <cell r="E241">
            <v>1</v>
          </cell>
          <cell r="F241">
            <v>0.5</v>
          </cell>
          <cell r="G241">
            <v>31500</v>
          </cell>
        </row>
        <row r="242">
          <cell r="B242" t="str">
            <v>CCM-A-3.120/150</v>
          </cell>
          <cell r="C242" t="str">
            <v>CÆp c¸p ®ång nh«m 3 lç CCM-A-3.120/150</v>
          </cell>
          <cell r="D242" t="str">
            <v>C¸i</v>
          </cell>
          <cell r="E242">
            <v>1</v>
          </cell>
          <cell r="F242">
            <v>0.5</v>
          </cell>
          <cell r="G242">
            <v>31500</v>
          </cell>
        </row>
        <row r="243">
          <cell r="B243" t="str">
            <v>CCM-A-3.95/150</v>
          </cell>
          <cell r="C243" t="str">
            <v>CÆp c¸p ®ång nh«m 3 lç CCM-A-3.95/150</v>
          </cell>
          <cell r="D243" t="str">
            <v>C¸i</v>
          </cell>
          <cell r="E243">
            <v>1</v>
          </cell>
          <cell r="F243">
            <v>0.5</v>
          </cell>
          <cell r="G243">
            <v>31500</v>
          </cell>
        </row>
        <row r="244">
          <cell r="B244" t="str">
            <v>CCM-A-3.70/150</v>
          </cell>
          <cell r="C244" t="str">
            <v>CÆp c¸p ®ång nh«m 3 lç CCM-A-3.70/150</v>
          </cell>
          <cell r="D244" t="str">
            <v>C¸i</v>
          </cell>
          <cell r="E244">
            <v>1</v>
          </cell>
          <cell r="F244">
            <v>0.5</v>
          </cell>
          <cell r="G244">
            <v>31500</v>
          </cell>
        </row>
        <row r="245">
          <cell r="B245" t="str">
            <v>CCM-A-3.50/150</v>
          </cell>
          <cell r="C245" t="str">
            <v>CÆp c¸p ®ång nh«m 3 lç CCM-A-3.50/150</v>
          </cell>
          <cell r="D245" t="str">
            <v>C¸i</v>
          </cell>
          <cell r="E245">
            <v>1</v>
          </cell>
          <cell r="F245">
            <v>0.5</v>
          </cell>
          <cell r="G245">
            <v>31500</v>
          </cell>
        </row>
        <row r="246">
          <cell r="B246" t="str">
            <v>CCM-A-3.95</v>
          </cell>
          <cell r="C246" t="str">
            <v>Lo¹i  CCM-A-3.120</v>
          </cell>
          <cell r="D246" t="str">
            <v>C¸i</v>
          </cell>
          <cell r="E246">
            <v>1</v>
          </cell>
          <cell r="F246">
            <v>0.5</v>
          </cell>
          <cell r="G246">
            <v>23500</v>
          </cell>
        </row>
        <row r="247">
          <cell r="B247" t="str">
            <v>CCM-A-3.120</v>
          </cell>
          <cell r="C247" t="str">
            <v>CÆp c¸p ®ång nh«m 3 lç CCM-A-3.120</v>
          </cell>
          <cell r="D247" t="str">
            <v>C¸i</v>
          </cell>
          <cell r="E247">
            <v>1</v>
          </cell>
          <cell r="F247">
            <v>0.5</v>
          </cell>
          <cell r="G247">
            <v>28500</v>
          </cell>
        </row>
        <row r="248">
          <cell r="B248" t="str">
            <v>CCM-A-3.120/95</v>
          </cell>
          <cell r="C248" t="str">
            <v>CÆp c¸p ®ång nh«m 3 lç CCM-A-3.120/95</v>
          </cell>
          <cell r="D248" t="str">
            <v>C¸i</v>
          </cell>
          <cell r="E248">
            <v>1</v>
          </cell>
          <cell r="F248">
            <v>0.5</v>
          </cell>
          <cell r="G248">
            <v>28500</v>
          </cell>
        </row>
        <row r="249">
          <cell r="B249" t="str">
            <v>CCM-A-3.120/70</v>
          </cell>
          <cell r="C249" t="str">
            <v>CÆp c¸p ®ång nh«m 3 lç CCM-A-3.120/70</v>
          </cell>
          <cell r="D249" t="str">
            <v>C¸i</v>
          </cell>
          <cell r="E249">
            <v>1</v>
          </cell>
          <cell r="F249">
            <v>0.5</v>
          </cell>
          <cell r="G249">
            <v>28500</v>
          </cell>
        </row>
        <row r="250">
          <cell r="B250" t="str">
            <v>CCM-A-3.120/50</v>
          </cell>
          <cell r="C250" t="str">
            <v>CÆp c¸p ®ång nh«m 3 lç CCM-A-3.120/50</v>
          </cell>
          <cell r="D250" t="str">
            <v>C¸i</v>
          </cell>
          <cell r="E250">
            <v>1</v>
          </cell>
          <cell r="F250">
            <v>0.5</v>
          </cell>
          <cell r="G250">
            <v>28500</v>
          </cell>
        </row>
        <row r="251">
          <cell r="B251" t="str">
            <v>CCM-A-3.95/120</v>
          </cell>
          <cell r="C251" t="str">
            <v>CÆp c¸p ®ång nh«m 3 lç CCM-A-3.95/120</v>
          </cell>
          <cell r="D251" t="str">
            <v>C¸i</v>
          </cell>
          <cell r="E251">
            <v>1</v>
          </cell>
          <cell r="F251">
            <v>0.5</v>
          </cell>
          <cell r="G251">
            <v>28500</v>
          </cell>
        </row>
        <row r="252">
          <cell r="B252" t="str">
            <v>CCM-A-3.70/120</v>
          </cell>
          <cell r="C252" t="str">
            <v>CÆp c¸p ®ång nh«m 3 lç CCM-A-3.70/120</v>
          </cell>
          <cell r="D252" t="str">
            <v>C¸i</v>
          </cell>
          <cell r="E252">
            <v>1</v>
          </cell>
          <cell r="F252">
            <v>0.5</v>
          </cell>
          <cell r="G252">
            <v>28500</v>
          </cell>
        </row>
        <row r="253">
          <cell r="B253" t="str">
            <v>CCM-A-3.50/120</v>
          </cell>
          <cell r="C253" t="str">
            <v>CÆp c¸p ®ång nh«m 3 lç CCM-A-3.50/120</v>
          </cell>
          <cell r="D253" t="str">
            <v>C¸i</v>
          </cell>
          <cell r="E253">
            <v>1</v>
          </cell>
          <cell r="F253">
            <v>0.5</v>
          </cell>
          <cell r="G253">
            <v>28500</v>
          </cell>
        </row>
        <row r="254">
          <cell r="B254" t="str">
            <v>CCM-A-3.50/70</v>
          </cell>
          <cell r="C254" t="str">
            <v>Lo¹i  CCM-A-3.95</v>
          </cell>
          <cell r="D254" t="str">
            <v>C¸i</v>
          </cell>
          <cell r="E254">
            <v>1</v>
          </cell>
          <cell r="F254">
            <v>0.5</v>
          </cell>
          <cell r="G254">
            <v>19500</v>
          </cell>
        </row>
        <row r="255">
          <cell r="B255" t="str">
            <v>CCM-A-3.95</v>
          </cell>
          <cell r="C255" t="str">
            <v>CÆp c¸p ®ång nh«m 3 lç CCM-A-3.95</v>
          </cell>
          <cell r="D255" t="str">
            <v>C¸i</v>
          </cell>
          <cell r="E255">
            <v>1</v>
          </cell>
          <cell r="F255">
            <v>0.5</v>
          </cell>
          <cell r="G255">
            <v>23500</v>
          </cell>
        </row>
        <row r="256">
          <cell r="B256" t="str">
            <v>CCM-A-3.95/70</v>
          </cell>
          <cell r="C256" t="str">
            <v>CÆp c¸p ®ång nh«m 3 lç CCM-A-3.95/70</v>
          </cell>
          <cell r="D256" t="str">
            <v>C¸i</v>
          </cell>
          <cell r="E256">
            <v>1</v>
          </cell>
          <cell r="F256">
            <v>0.5</v>
          </cell>
          <cell r="G256">
            <v>23500</v>
          </cell>
        </row>
        <row r="257">
          <cell r="B257" t="str">
            <v>CCM-A-3.95/50</v>
          </cell>
          <cell r="C257" t="str">
            <v>CÆp c¸p ®ång nh«m 3 lç CCM-A-3.95/50</v>
          </cell>
          <cell r="D257" t="str">
            <v>C¸i</v>
          </cell>
          <cell r="E257">
            <v>1</v>
          </cell>
          <cell r="F257">
            <v>0.5</v>
          </cell>
          <cell r="G257">
            <v>23500</v>
          </cell>
        </row>
        <row r="258">
          <cell r="B258" t="str">
            <v>CCM-A-3.70/95</v>
          </cell>
          <cell r="C258" t="str">
            <v>CÆp c¸p ®ång nh«m 3 lç CCM-A-3.70/95</v>
          </cell>
          <cell r="D258" t="str">
            <v>C¸i</v>
          </cell>
          <cell r="E258">
            <v>1</v>
          </cell>
          <cell r="F258">
            <v>0.5</v>
          </cell>
          <cell r="G258">
            <v>23500</v>
          </cell>
        </row>
        <row r="259">
          <cell r="B259" t="str">
            <v>CCM-A-3.50/95</v>
          </cell>
          <cell r="C259" t="str">
            <v>CÆp c¸p ®ång nh«m 3 lç CCM-A-3.50/95</v>
          </cell>
          <cell r="D259" t="str">
            <v>C¸i</v>
          </cell>
          <cell r="E259">
            <v>1</v>
          </cell>
          <cell r="F259">
            <v>0.5</v>
          </cell>
          <cell r="G259">
            <v>23500</v>
          </cell>
        </row>
        <row r="260">
          <cell r="B260" t="str">
            <v>KNOM-A-240/150</v>
          </cell>
          <cell r="C260" t="str">
            <v>Lo¹i  CCM-A-3.70</v>
          </cell>
          <cell r="D260" t="str">
            <v>C¸i</v>
          </cell>
          <cell r="E260">
            <v>1</v>
          </cell>
          <cell r="F260">
            <v>0.5</v>
          </cell>
          <cell r="G260">
            <v>41500</v>
          </cell>
        </row>
        <row r="261">
          <cell r="B261" t="str">
            <v>CCM-A-3.70</v>
          </cell>
          <cell r="C261" t="str">
            <v>CÆp c¸p ®ång nh«m 3 lç CCM-A-3.70</v>
          </cell>
          <cell r="D261" t="str">
            <v>C¸i</v>
          </cell>
          <cell r="E261">
            <v>1</v>
          </cell>
          <cell r="F261">
            <v>0.5</v>
          </cell>
          <cell r="G261">
            <v>19500</v>
          </cell>
        </row>
        <row r="262">
          <cell r="B262" t="str">
            <v>CCM-A-3.70/50</v>
          </cell>
          <cell r="C262" t="str">
            <v>CÆp c¸p ®ång nh«m 3 lç CCM-A-3.70/50</v>
          </cell>
          <cell r="D262" t="str">
            <v>C¸i</v>
          </cell>
          <cell r="E262">
            <v>1</v>
          </cell>
          <cell r="F262">
            <v>0.5</v>
          </cell>
          <cell r="G262">
            <v>19500</v>
          </cell>
        </row>
        <row r="263">
          <cell r="B263" t="str">
            <v>CCM-A-3.50/70</v>
          </cell>
          <cell r="C263" t="str">
            <v>CÆp c¸p ®ång nh«m 3 lç CCM-A-3.50/70</v>
          </cell>
          <cell r="D263" t="str">
            <v>C¸i</v>
          </cell>
          <cell r="E263">
            <v>1</v>
          </cell>
          <cell r="F263">
            <v>0.5</v>
          </cell>
          <cell r="G263">
            <v>19500</v>
          </cell>
        </row>
        <row r="264">
          <cell r="B264" t="str">
            <v>KNOM-A-240/50</v>
          </cell>
          <cell r="C264" t="str">
            <v>Lo¹i  CCM-A-3.50</v>
          </cell>
          <cell r="D264" t="str">
            <v>C¸i</v>
          </cell>
          <cell r="E264">
            <v>1</v>
          </cell>
          <cell r="F264">
            <v>0.5</v>
          </cell>
          <cell r="G264">
            <v>41500</v>
          </cell>
        </row>
        <row r="265">
          <cell r="B265" t="str">
            <v>CCM-A-3.50</v>
          </cell>
          <cell r="C265" t="str">
            <v>CÆp c¸p ®ång nh«m 3 lç CCM-A-3.50</v>
          </cell>
          <cell r="D265" t="str">
            <v>C¸i</v>
          </cell>
          <cell r="E265">
            <v>1</v>
          </cell>
          <cell r="F265">
            <v>0.5</v>
          </cell>
          <cell r="G265">
            <v>15500</v>
          </cell>
        </row>
        <row r="266">
          <cell r="B266" t="str">
            <v>KNOM-A-150/240</v>
          </cell>
          <cell r="C266" t="str">
            <v>Lo¹i KNOM-A-240</v>
          </cell>
          <cell r="D266" t="str">
            <v>C¸i</v>
          </cell>
          <cell r="E266">
            <v>1</v>
          </cell>
          <cell r="F266">
            <v>0.5</v>
          </cell>
          <cell r="G266">
            <v>41500</v>
          </cell>
        </row>
        <row r="267">
          <cell r="B267" t="str">
            <v>KNOM-A-240</v>
          </cell>
          <cell r="C267" t="str">
            <v>CÆp c¸p ®ång nh«m 3 lç KNOM-A-240</v>
          </cell>
          <cell r="D267" t="str">
            <v>C¸i</v>
          </cell>
          <cell r="E267">
            <v>1</v>
          </cell>
          <cell r="F267">
            <v>0.5</v>
          </cell>
          <cell r="G267">
            <v>41500</v>
          </cell>
        </row>
        <row r="268">
          <cell r="B268" t="str">
            <v>KNOM-A-240/185</v>
          </cell>
          <cell r="C268" t="str">
            <v>CÆp c¸p ®ång nh«m 3 lç KNOM-A-240/185</v>
          </cell>
          <cell r="D268" t="str">
            <v>C¸i</v>
          </cell>
          <cell r="E268">
            <v>1</v>
          </cell>
          <cell r="F268">
            <v>0.5</v>
          </cell>
          <cell r="G268">
            <v>41500</v>
          </cell>
        </row>
        <row r="269">
          <cell r="B269" t="str">
            <v>KNOM-A-240/150</v>
          </cell>
          <cell r="C269" t="str">
            <v>CÆp c¸p ®ång nh«m 3 lç KNOM-A-240/150</v>
          </cell>
          <cell r="D269" t="str">
            <v>C¸i</v>
          </cell>
          <cell r="E269">
            <v>1</v>
          </cell>
          <cell r="F269">
            <v>0.5</v>
          </cell>
          <cell r="G269">
            <v>41500</v>
          </cell>
        </row>
        <row r="270">
          <cell r="B270" t="str">
            <v>KNOM-A-240/120</v>
          </cell>
          <cell r="C270" t="str">
            <v>CÆp c¸p ®ång nh«m 3 lç KNOM-A-240/120</v>
          </cell>
          <cell r="D270" t="str">
            <v>C¸i</v>
          </cell>
          <cell r="E270">
            <v>1</v>
          </cell>
          <cell r="F270">
            <v>0.5</v>
          </cell>
          <cell r="G270">
            <v>41500</v>
          </cell>
        </row>
        <row r="271">
          <cell r="B271" t="str">
            <v>KNOM-A-240/95</v>
          </cell>
          <cell r="C271" t="str">
            <v>CÆp c¸p ®ång nh«m 3 lç KNOM-A-240/95</v>
          </cell>
          <cell r="D271" t="str">
            <v>C¸i</v>
          </cell>
          <cell r="E271">
            <v>1</v>
          </cell>
          <cell r="F271">
            <v>0.5</v>
          </cell>
          <cell r="G271">
            <v>41500</v>
          </cell>
        </row>
        <row r="272">
          <cell r="B272" t="str">
            <v>KNOM-A-240/70</v>
          </cell>
          <cell r="C272" t="str">
            <v>CÆp c¸p ®ång nh«m 3 lç KNOM-A-240/70</v>
          </cell>
          <cell r="D272" t="str">
            <v>C¸i</v>
          </cell>
          <cell r="E272">
            <v>1</v>
          </cell>
          <cell r="F272">
            <v>0.5</v>
          </cell>
          <cell r="G272">
            <v>41500</v>
          </cell>
        </row>
        <row r="273">
          <cell r="B273" t="str">
            <v>KNOM-A-240/50</v>
          </cell>
          <cell r="C273" t="str">
            <v>CÆp c¸p ®ång nh«m 3 lç KNOM-A-240/50</v>
          </cell>
          <cell r="D273" t="str">
            <v>C¸i</v>
          </cell>
          <cell r="E273">
            <v>1</v>
          </cell>
          <cell r="F273">
            <v>0.5</v>
          </cell>
          <cell r="G273">
            <v>41500</v>
          </cell>
        </row>
        <row r="274">
          <cell r="B274" t="str">
            <v>KNOM-A-185/240</v>
          </cell>
          <cell r="C274" t="str">
            <v>CÆp c¸p ®ång nh«m 3 lç KNOM-A-185/240</v>
          </cell>
          <cell r="D274" t="str">
            <v>C¸i</v>
          </cell>
          <cell r="E274">
            <v>1</v>
          </cell>
          <cell r="F274">
            <v>0.5</v>
          </cell>
          <cell r="G274">
            <v>41500</v>
          </cell>
        </row>
        <row r="275">
          <cell r="B275" t="str">
            <v>KNOM-A-150/240</v>
          </cell>
          <cell r="C275" t="str">
            <v>CÆp c¸p ®ång nh«m 3 lç KNOM-A-150/240</v>
          </cell>
          <cell r="D275" t="str">
            <v>C¸i</v>
          </cell>
          <cell r="E275">
            <v>1</v>
          </cell>
          <cell r="F275">
            <v>0.5</v>
          </cell>
          <cell r="G275">
            <v>41500</v>
          </cell>
        </row>
        <row r="276">
          <cell r="B276" t="str">
            <v>KNOM-A-120/240</v>
          </cell>
          <cell r="C276" t="str">
            <v>CÆp c¸p ®ång nh«m 3 lç KNOM-A-120/240</v>
          </cell>
          <cell r="D276" t="str">
            <v>C¸i</v>
          </cell>
          <cell r="E276">
            <v>1</v>
          </cell>
          <cell r="F276">
            <v>0.5</v>
          </cell>
          <cell r="G276">
            <v>41500</v>
          </cell>
        </row>
        <row r="277">
          <cell r="B277" t="str">
            <v>KNOM-A-95/240</v>
          </cell>
          <cell r="C277" t="str">
            <v>CÆp c¸p ®ång nh«m 3 lç KNOM-A-95/240</v>
          </cell>
          <cell r="D277" t="str">
            <v>C¸i</v>
          </cell>
          <cell r="E277">
            <v>1</v>
          </cell>
          <cell r="F277">
            <v>0.5</v>
          </cell>
          <cell r="G277">
            <v>41500</v>
          </cell>
        </row>
        <row r="278">
          <cell r="B278" t="str">
            <v>KNOM-A-70/240</v>
          </cell>
          <cell r="C278" t="str">
            <v>CÆp c¸p ®ång nh«m 3 lç KNOM-A-70/240</v>
          </cell>
          <cell r="D278" t="str">
            <v>C¸i</v>
          </cell>
          <cell r="E278">
            <v>1</v>
          </cell>
          <cell r="F278">
            <v>0.5</v>
          </cell>
          <cell r="G278">
            <v>41500</v>
          </cell>
        </row>
        <row r="279">
          <cell r="B279" t="str">
            <v>KNOM-A-50/240</v>
          </cell>
          <cell r="C279" t="str">
            <v>CÆp c¸p ®ång nh«m 3 lç KNOM-A-50/240</v>
          </cell>
          <cell r="D279" t="str">
            <v>C¸i</v>
          </cell>
          <cell r="E279">
            <v>1</v>
          </cell>
          <cell r="F279">
            <v>0.5</v>
          </cell>
          <cell r="G279">
            <v>41500</v>
          </cell>
        </row>
        <row r="280">
          <cell r="B280" t="str">
            <v>KNOM-A-95/185</v>
          </cell>
          <cell r="C280" t="str">
            <v>Lo¹i KNOM-A-185</v>
          </cell>
          <cell r="D280" t="str">
            <v>C¸i</v>
          </cell>
          <cell r="E280">
            <v>1</v>
          </cell>
          <cell r="F280">
            <v>0.5</v>
          </cell>
          <cell r="G280">
            <v>36500</v>
          </cell>
        </row>
        <row r="281">
          <cell r="B281" t="str">
            <v>KNOM-A-185</v>
          </cell>
          <cell r="C281" t="str">
            <v>CÆp c¸p ®ång nh«m 3 lç KNOM-A-185</v>
          </cell>
          <cell r="D281" t="str">
            <v>C¸i</v>
          </cell>
          <cell r="E281">
            <v>1</v>
          </cell>
          <cell r="F281">
            <v>0.5</v>
          </cell>
          <cell r="G281">
            <v>36500</v>
          </cell>
        </row>
        <row r="282">
          <cell r="B282" t="str">
            <v>KNOM-A-185/150</v>
          </cell>
          <cell r="C282" t="str">
            <v>CÆp c¸p ®ång nh«m 3 lç KNOM-A-185/150</v>
          </cell>
          <cell r="D282" t="str">
            <v>C¸i</v>
          </cell>
          <cell r="E282">
            <v>1</v>
          </cell>
          <cell r="F282">
            <v>0.5</v>
          </cell>
          <cell r="G282">
            <v>36500</v>
          </cell>
        </row>
        <row r="283">
          <cell r="B283" t="str">
            <v>KNOM-A-185/120</v>
          </cell>
          <cell r="C283" t="str">
            <v>CÆp c¸p ®ång nh«m 3 lç KNOM-A-185/120</v>
          </cell>
          <cell r="D283" t="str">
            <v>C¸i</v>
          </cell>
          <cell r="E283">
            <v>1</v>
          </cell>
          <cell r="F283">
            <v>0.5</v>
          </cell>
          <cell r="G283">
            <v>36500</v>
          </cell>
        </row>
        <row r="284">
          <cell r="B284" t="str">
            <v>KNOM-A-185/95</v>
          </cell>
          <cell r="C284" t="str">
            <v>CÆp c¸p ®ång nh«m 3 lç KNOM-A-185/95</v>
          </cell>
          <cell r="D284" t="str">
            <v>C¸i</v>
          </cell>
          <cell r="E284">
            <v>1</v>
          </cell>
          <cell r="F284">
            <v>0.5</v>
          </cell>
          <cell r="G284">
            <v>36500</v>
          </cell>
        </row>
        <row r="285">
          <cell r="B285" t="str">
            <v>KNOM-A-185/70</v>
          </cell>
          <cell r="C285" t="str">
            <v>CÆp c¸p ®ång nh«m 3 lç KNOM-A-185/70</v>
          </cell>
          <cell r="D285" t="str">
            <v>C¸i</v>
          </cell>
          <cell r="E285">
            <v>1</v>
          </cell>
          <cell r="F285">
            <v>0.5</v>
          </cell>
          <cell r="G285">
            <v>36500</v>
          </cell>
        </row>
        <row r="286">
          <cell r="B286" t="str">
            <v>KNOM-A-185/50</v>
          </cell>
          <cell r="C286" t="str">
            <v>CÆp c¸p ®ång nh«m 3 lç KNOM-A-185/50</v>
          </cell>
          <cell r="D286" t="str">
            <v>C¸i</v>
          </cell>
          <cell r="E286">
            <v>1</v>
          </cell>
          <cell r="F286">
            <v>0.5</v>
          </cell>
          <cell r="G286">
            <v>36500</v>
          </cell>
        </row>
        <row r="287">
          <cell r="B287" t="str">
            <v>KNOM-A-150/185</v>
          </cell>
          <cell r="C287" t="str">
            <v>CÆp c¸p ®ång nh«m 3 lç KNOM-A-150/185</v>
          </cell>
          <cell r="D287" t="str">
            <v>C¸i</v>
          </cell>
          <cell r="E287">
            <v>1</v>
          </cell>
          <cell r="F287">
            <v>0.5</v>
          </cell>
          <cell r="G287">
            <v>36500</v>
          </cell>
        </row>
        <row r="288">
          <cell r="B288" t="str">
            <v>KNOM-A-120/185</v>
          </cell>
          <cell r="C288" t="str">
            <v>CÆp c¸p ®ång nh«m 3 lç KNOM-A-120/185</v>
          </cell>
          <cell r="D288" t="str">
            <v>C¸i</v>
          </cell>
          <cell r="E288">
            <v>1</v>
          </cell>
          <cell r="F288">
            <v>0.5</v>
          </cell>
          <cell r="G288">
            <v>36500</v>
          </cell>
        </row>
        <row r="289">
          <cell r="B289" t="str">
            <v>KNOM-A-95/185</v>
          </cell>
          <cell r="C289" t="str">
            <v>CÆp c¸p ®ång nh«m 3 lç KNOM-A-95/185</v>
          </cell>
          <cell r="D289" t="str">
            <v>C¸i</v>
          </cell>
          <cell r="E289">
            <v>1</v>
          </cell>
          <cell r="F289">
            <v>0.5</v>
          </cell>
          <cell r="G289">
            <v>36500</v>
          </cell>
        </row>
        <row r="290">
          <cell r="B290" t="str">
            <v>KNOM-A-70/185</v>
          </cell>
          <cell r="C290" t="str">
            <v>CÆp c¸p ®ång nh«m 3 lç KNOM-A-70/185</v>
          </cell>
          <cell r="D290" t="str">
            <v>C¸i</v>
          </cell>
          <cell r="E290">
            <v>1</v>
          </cell>
          <cell r="F290">
            <v>0.5</v>
          </cell>
          <cell r="G290">
            <v>36500</v>
          </cell>
        </row>
        <row r="291">
          <cell r="B291" t="str">
            <v>KNOM-A-50/185</v>
          </cell>
          <cell r="C291" t="str">
            <v>CÆp c¸p ®ång nh«m 3 lç KNOM-A-50/185</v>
          </cell>
          <cell r="D291" t="str">
            <v>C¸i</v>
          </cell>
          <cell r="E291">
            <v>1</v>
          </cell>
          <cell r="F291">
            <v>0.5</v>
          </cell>
          <cell r="G291">
            <v>36500</v>
          </cell>
        </row>
        <row r="292">
          <cell r="B292" t="str">
            <v>KNOM-A-50/150</v>
          </cell>
          <cell r="C292" t="str">
            <v>Lo¹i  KNOM-A-150</v>
          </cell>
          <cell r="D292" t="str">
            <v>C¸i</v>
          </cell>
          <cell r="E292">
            <v>1</v>
          </cell>
          <cell r="F292">
            <v>0.5</v>
          </cell>
          <cell r="G292">
            <v>31500</v>
          </cell>
        </row>
        <row r="293">
          <cell r="B293" t="str">
            <v>KNOM-A-150</v>
          </cell>
          <cell r="C293" t="str">
            <v>CÆp c¸p ®ång nh«m 3 lç KNOM-A-150</v>
          </cell>
          <cell r="D293" t="str">
            <v>C¸i</v>
          </cell>
          <cell r="E293">
            <v>1</v>
          </cell>
          <cell r="F293">
            <v>0.5</v>
          </cell>
          <cell r="G293">
            <v>31500</v>
          </cell>
        </row>
        <row r="294">
          <cell r="B294" t="str">
            <v>KNOM-A-150/120</v>
          </cell>
          <cell r="C294" t="str">
            <v>CÆp c¸p ®ång nh«m 3 lç KNOM-A-150/120</v>
          </cell>
          <cell r="D294" t="str">
            <v>C¸i</v>
          </cell>
          <cell r="E294">
            <v>1</v>
          </cell>
          <cell r="F294">
            <v>0.5</v>
          </cell>
          <cell r="G294">
            <v>31500</v>
          </cell>
        </row>
        <row r="295">
          <cell r="B295" t="str">
            <v>KNOM-A-150/95</v>
          </cell>
          <cell r="C295" t="str">
            <v>CÆp c¸p ®ång nh«m 3 lç KNOM-A-150/95</v>
          </cell>
          <cell r="D295" t="str">
            <v>C¸i</v>
          </cell>
          <cell r="E295">
            <v>1</v>
          </cell>
          <cell r="F295">
            <v>0.5</v>
          </cell>
          <cell r="G295">
            <v>31500</v>
          </cell>
        </row>
        <row r="296">
          <cell r="B296" t="str">
            <v>KNOM-A-150/70</v>
          </cell>
          <cell r="C296" t="str">
            <v>CÆp c¸p ®ång nh«m 3 lç KNOM-A-150/70</v>
          </cell>
          <cell r="D296" t="str">
            <v>C¸i</v>
          </cell>
          <cell r="E296">
            <v>1</v>
          </cell>
          <cell r="F296">
            <v>0.5</v>
          </cell>
          <cell r="G296">
            <v>31500</v>
          </cell>
        </row>
        <row r="297">
          <cell r="B297" t="str">
            <v>KNOM-A-150/50</v>
          </cell>
          <cell r="C297" t="str">
            <v>CÆp c¸p ®ång nh«m 3 lç KNOM-A-150/50</v>
          </cell>
          <cell r="D297" t="str">
            <v>C¸i</v>
          </cell>
          <cell r="E297">
            <v>1</v>
          </cell>
          <cell r="F297">
            <v>0.5</v>
          </cell>
          <cell r="G297">
            <v>31500</v>
          </cell>
        </row>
        <row r="298">
          <cell r="B298" t="str">
            <v>KNOM-A-120/150</v>
          </cell>
          <cell r="C298" t="str">
            <v>CÆp c¸p ®ång nh«m 3 lç KNOM-A-120/150</v>
          </cell>
          <cell r="D298" t="str">
            <v>C¸i</v>
          </cell>
          <cell r="E298">
            <v>1</v>
          </cell>
          <cell r="F298">
            <v>0.5</v>
          </cell>
          <cell r="G298">
            <v>31500</v>
          </cell>
        </row>
        <row r="299">
          <cell r="B299" t="str">
            <v>KNOM-A-95/150</v>
          </cell>
          <cell r="C299" t="str">
            <v>CÆp c¸p ®ång nh«m 3 lç KNOM-A-95/150</v>
          </cell>
          <cell r="D299" t="str">
            <v>C¸i</v>
          </cell>
          <cell r="E299">
            <v>1</v>
          </cell>
          <cell r="F299">
            <v>0.5</v>
          </cell>
          <cell r="G299">
            <v>31500</v>
          </cell>
        </row>
        <row r="300">
          <cell r="B300" t="str">
            <v>KNOM-A-70/150</v>
          </cell>
          <cell r="C300" t="str">
            <v>CÆp c¸p ®ång nh«m 3 lç KNOM-A-70/150</v>
          </cell>
          <cell r="D300" t="str">
            <v>C¸i</v>
          </cell>
          <cell r="E300">
            <v>1</v>
          </cell>
          <cell r="F300">
            <v>0.5</v>
          </cell>
          <cell r="G300">
            <v>31500</v>
          </cell>
        </row>
        <row r="301">
          <cell r="B301" t="str">
            <v>KNOM-A-50/150</v>
          </cell>
          <cell r="C301" t="str">
            <v>CÆp c¸p ®ång nh«m 3 lç KNOM-A-50/150</v>
          </cell>
          <cell r="D301" t="str">
            <v>C¸i</v>
          </cell>
          <cell r="E301">
            <v>1</v>
          </cell>
          <cell r="F301">
            <v>0.5</v>
          </cell>
          <cell r="G301">
            <v>31500</v>
          </cell>
        </row>
        <row r="302">
          <cell r="B302" t="str">
            <v>KNOM-A-95</v>
          </cell>
          <cell r="C302" t="str">
            <v>Lo¹i  KNOM-A-120</v>
          </cell>
          <cell r="D302" t="str">
            <v>C¸i</v>
          </cell>
          <cell r="E302">
            <v>1</v>
          </cell>
          <cell r="F302">
            <v>0.5</v>
          </cell>
          <cell r="G302">
            <v>23500</v>
          </cell>
        </row>
        <row r="303">
          <cell r="B303" t="str">
            <v>KNOM-A-120</v>
          </cell>
          <cell r="C303" t="str">
            <v>CÆp c¸p ®ång nh«m 3 lç KNOM-A-120</v>
          </cell>
          <cell r="D303" t="str">
            <v>C¸i</v>
          </cell>
          <cell r="E303">
            <v>1</v>
          </cell>
          <cell r="F303">
            <v>0.5</v>
          </cell>
          <cell r="G303">
            <v>28500</v>
          </cell>
        </row>
        <row r="304">
          <cell r="B304" t="str">
            <v>KNOM-A-120/95</v>
          </cell>
          <cell r="C304" t="str">
            <v>CÆp c¸p ®ång nh«m 3 lç KNOM-A-120/95</v>
          </cell>
          <cell r="D304" t="str">
            <v>C¸i</v>
          </cell>
          <cell r="E304">
            <v>1</v>
          </cell>
          <cell r="F304">
            <v>0.5</v>
          </cell>
          <cell r="G304">
            <v>28500</v>
          </cell>
        </row>
        <row r="305">
          <cell r="B305" t="str">
            <v>KNOM-A-120/70</v>
          </cell>
          <cell r="C305" t="str">
            <v>CÆp c¸p ®ång nh«m 3 lç KNOM-A-120/70</v>
          </cell>
          <cell r="D305" t="str">
            <v>C¸i</v>
          </cell>
          <cell r="E305">
            <v>1</v>
          </cell>
          <cell r="F305">
            <v>0.5</v>
          </cell>
          <cell r="G305">
            <v>28500</v>
          </cell>
        </row>
        <row r="306">
          <cell r="B306" t="str">
            <v>KNOM-A-120/50</v>
          </cell>
          <cell r="C306" t="str">
            <v>CÆp c¸p ®ång nh«m 3 lç KNOM-A-120/50</v>
          </cell>
          <cell r="D306" t="str">
            <v>C¸i</v>
          </cell>
          <cell r="E306">
            <v>1</v>
          </cell>
          <cell r="F306">
            <v>0.5</v>
          </cell>
          <cell r="G306">
            <v>28500</v>
          </cell>
        </row>
        <row r="307">
          <cell r="B307" t="str">
            <v>KNOM-A-95/120</v>
          </cell>
          <cell r="C307" t="str">
            <v>CÆp c¸p ®ång nh«m 3 lç KNOM-A-95/120</v>
          </cell>
          <cell r="D307" t="str">
            <v>C¸i</v>
          </cell>
          <cell r="E307">
            <v>1</v>
          </cell>
          <cell r="F307">
            <v>0.5</v>
          </cell>
          <cell r="G307">
            <v>28500</v>
          </cell>
        </row>
        <row r="308">
          <cell r="B308" t="str">
            <v>KNOM-A-70/120</v>
          </cell>
          <cell r="C308" t="str">
            <v>CÆp c¸p ®ång nh«m 3 lç KNOM-A-70/120</v>
          </cell>
          <cell r="D308" t="str">
            <v>C¸i</v>
          </cell>
          <cell r="E308">
            <v>1</v>
          </cell>
          <cell r="F308">
            <v>0.5</v>
          </cell>
          <cell r="G308">
            <v>28500</v>
          </cell>
        </row>
        <row r="309">
          <cell r="B309" t="str">
            <v>KNOM-A-50/120</v>
          </cell>
          <cell r="C309" t="str">
            <v>CÆp c¸p ®ång nh«m 3 lç KNOM-A-50/120</v>
          </cell>
          <cell r="D309" t="str">
            <v>C¸i</v>
          </cell>
          <cell r="E309">
            <v>1</v>
          </cell>
          <cell r="F309">
            <v>0.5</v>
          </cell>
          <cell r="G309">
            <v>28500</v>
          </cell>
        </row>
        <row r="310">
          <cell r="B310" t="str">
            <v>KNOM-A-50/70</v>
          </cell>
          <cell r="C310" t="str">
            <v>Lo¹i  KNOM-A-95</v>
          </cell>
          <cell r="D310" t="str">
            <v>C¸i</v>
          </cell>
          <cell r="E310">
            <v>1</v>
          </cell>
          <cell r="F310">
            <v>0.5</v>
          </cell>
          <cell r="G310">
            <v>19500</v>
          </cell>
        </row>
        <row r="311">
          <cell r="B311" t="str">
            <v>KNOM-A-95</v>
          </cell>
          <cell r="C311" t="str">
            <v>CÆp c¸p ®ång nh«m 3 lç KNOM-A-95</v>
          </cell>
          <cell r="D311" t="str">
            <v>C¸i</v>
          </cell>
          <cell r="E311">
            <v>1</v>
          </cell>
          <cell r="F311">
            <v>0.5</v>
          </cell>
          <cell r="G311">
            <v>23500</v>
          </cell>
        </row>
        <row r="312">
          <cell r="B312" t="str">
            <v>KNOM-A-95/70</v>
          </cell>
          <cell r="C312" t="str">
            <v>CÆp c¸p ®ång nh«m 3 lç KNOM-A-95/70</v>
          </cell>
          <cell r="D312" t="str">
            <v>C¸i</v>
          </cell>
          <cell r="E312">
            <v>1</v>
          </cell>
          <cell r="F312">
            <v>0.5</v>
          </cell>
          <cell r="G312">
            <v>23500</v>
          </cell>
        </row>
        <row r="313">
          <cell r="B313" t="str">
            <v>KNOM-A-95/50</v>
          </cell>
          <cell r="C313" t="str">
            <v>CÆp c¸p ®ång nh«m 3 lç KNOM-A-95/50</v>
          </cell>
          <cell r="D313" t="str">
            <v>C¸i</v>
          </cell>
          <cell r="E313">
            <v>1</v>
          </cell>
          <cell r="F313">
            <v>0.5</v>
          </cell>
          <cell r="G313">
            <v>23500</v>
          </cell>
        </row>
        <row r="314">
          <cell r="B314" t="str">
            <v>KNOM-A-70/95</v>
          </cell>
          <cell r="C314" t="str">
            <v>CÆp c¸p ®ång nh«m 3 lç KNOM-A-70/95</v>
          </cell>
          <cell r="D314" t="str">
            <v>C¸i</v>
          </cell>
          <cell r="E314">
            <v>1</v>
          </cell>
          <cell r="F314">
            <v>0.5</v>
          </cell>
          <cell r="G314">
            <v>23500</v>
          </cell>
        </row>
        <row r="315">
          <cell r="B315" t="str">
            <v>KNOM-A-50/95</v>
          </cell>
          <cell r="C315" t="str">
            <v>CÆp c¸p ®ång nh«m 3 lç KNOM-A-50/95</v>
          </cell>
          <cell r="D315" t="str">
            <v>C¸i</v>
          </cell>
          <cell r="E315">
            <v>1</v>
          </cell>
          <cell r="F315">
            <v>0.5</v>
          </cell>
          <cell r="G315">
            <v>23500</v>
          </cell>
        </row>
        <row r="316">
          <cell r="B316" t="str">
            <v>YHN M240-A185</v>
          </cell>
          <cell r="C316" t="str">
            <v>Lo¹i  KNOM-A-70</v>
          </cell>
          <cell r="D316" t="str">
            <v>C¸i</v>
          </cell>
          <cell r="E316">
            <v>1</v>
          </cell>
          <cell r="F316">
            <v>0.5</v>
          </cell>
          <cell r="G316">
            <v>45500</v>
          </cell>
        </row>
        <row r="317">
          <cell r="B317" t="str">
            <v>KNOM-A-70</v>
          </cell>
          <cell r="C317" t="str">
            <v>CÆp c¸p ®ång nh«m 3 lç KNOM-A-70</v>
          </cell>
          <cell r="D317" t="str">
            <v>C¸i</v>
          </cell>
          <cell r="E317">
            <v>1</v>
          </cell>
          <cell r="F317">
            <v>0.5</v>
          </cell>
          <cell r="G317">
            <v>19500</v>
          </cell>
        </row>
        <row r="318">
          <cell r="B318" t="str">
            <v>KNOM-A-70/50</v>
          </cell>
          <cell r="C318" t="str">
            <v>CÆp c¸p ®ång nh«m 3 lç KNOM-A-70/50</v>
          </cell>
          <cell r="D318" t="str">
            <v>C¸i</v>
          </cell>
          <cell r="E318">
            <v>1</v>
          </cell>
          <cell r="F318">
            <v>0.5</v>
          </cell>
          <cell r="G318">
            <v>19500</v>
          </cell>
        </row>
        <row r="319">
          <cell r="B319" t="str">
            <v>KNOM-A-50/70</v>
          </cell>
          <cell r="C319" t="str">
            <v>CÆp c¸p ®ång nh«m 3 lç KNOM-A-50/70</v>
          </cell>
          <cell r="D319" t="str">
            <v>C¸i</v>
          </cell>
          <cell r="E319">
            <v>1</v>
          </cell>
          <cell r="F319">
            <v>0.5</v>
          </cell>
          <cell r="G319">
            <v>19500</v>
          </cell>
        </row>
        <row r="320">
          <cell r="B320" t="str">
            <v>YHN M240-A95</v>
          </cell>
          <cell r="C320" t="str">
            <v>Lo¹i  KNOM-A-50</v>
          </cell>
          <cell r="D320" t="str">
            <v>C¸i</v>
          </cell>
          <cell r="E320">
            <v>1</v>
          </cell>
          <cell r="F320">
            <v>0.5</v>
          </cell>
          <cell r="G320">
            <v>45500</v>
          </cell>
        </row>
        <row r="321">
          <cell r="B321" t="str">
            <v>KNOM-A-50</v>
          </cell>
          <cell r="C321" t="str">
            <v>CÆp c¸p ®ång nh«m 3 lç KNOM-A-50</v>
          </cell>
          <cell r="D321" t="str">
            <v>C¸i</v>
          </cell>
          <cell r="E321">
            <v>1</v>
          </cell>
          <cell r="F321">
            <v>0.5</v>
          </cell>
          <cell r="G321">
            <v>15500</v>
          </cell>
        </row>
        <row r="322">
          <cell r="B322" t="str">
            <v>YHN M240-A50</v>
          </cell>
          <cell r="C322" t="str">
            <v>KÑp bÊm ®ång nh«m</v>
          </cell>
          <cell r="D322" t="str">
            <v>C¸i</v>
          </cell>
          <cell r="E322">
            <v>1</v>
          </cell>
          <cell r="F322">
            <v>0.5</v>
          </cell>
          <cell r="G322">
            <v>45500</v>
          </cell>
        </row>
        <row r="323">
          <cell r="B323" t="str">
            <v>YHN M185-A240</v>
          </cell>
          <cell r="C323" t="str">
            <v>Lo¹i YHN M-A240</v>
          </cell>
          <cell r="D323" t="str">
            <v>C¸i</v>
          </cell>
          <cell r="E323">
            <v>1</v>
          </cell>
          <cell r="F323">
            <v>0.5</v>
          </cell>
          <cell r="G323">
            <v>45500</v>
          </cell>
        </row>
        <row r="324">
          <cell r="B324" t="str">
            <v>YHN M240-A240</v>
          </cell>
          <cell r="C324" t="str">
            <v>KÑp bÊm ®ång nh«m YHN    M240-A240</v>
          </cell>
          <cell r="D324" t="str">
            <v>C¸i</v>
          </cell>
          <cell r="E324">
            <v>1</v>
          </cell>
          <cell r="F324">
            <v>0.5</v>
          </cell>
          <cell r="G324">
            <v>45500</v>
          </cell>
        </row>
        <row r="325">
          <cell r="B325" t="str">
            <v>YHN M240-A185</v>
          </cell>
          <cell r="C325" t="str">
            <v>KÑp bÊm ®ång nh«m YHN    M240-A185</v>
          </cell>
          <cell r="D325" t="str">
            <v>C¸i</v>
          </cell>
          <cell r="E325">
            <v>1</v>
          </cell>
          <cell r="F325">
            <v>0.5</v>
          </cell>
          <cell r="G325">
            <v>45500</v>
          </cell>
        </row>
        <row r="326">
          <cell r="B326" t="str">
            <v>YHN M240-A150</v>
          </cell>
          <cell r="C326" t="str">
            <v>KÑp bÊm ®ång nh«m YHN    M240-A150</v>
          </cell>
          <cell r="D326" t="str">
            <v>C¸i</v>
          </cell>
          <cell r="E326">
            <v>1</v>
          </cell>
          <cell r="F326">
            <v>0.5</v>
          </cell>
          <cell r="G326">
            <v>45500</v>
          </cell>
        </row>
        <row r="327">
          <cell r="B327" t="str">
            <v>YHN M240-A120</v>
          </cell>
          <cell r="C327" t="str">
            <v>KÑp bÊm ®ång nh«m YHN    M240-A120</v>
          </cell>
          <cell r="D327" t="str">
            <v>C¸i</v>
          </cell>
          <cell r="E327">
            <v>1</v>
          </cell>
          <cell r="F327">
            <v>0.5</v>
          </cell>
          <cell r="G327">
            <v>45500</v>
          </cell>
        </row>
        <row r="328">
          <cell r="B328" t="str">
            <v>YHN M240-A120</v>
          </cell>
          <cell r="C328" t="str">
            <v>KÑp bÊm ®ång nh«m YHN    M240-A120</v>
          </cell>
          <cell r="D328" t="str">
            <v>C¸i</v>
          </cell>
          <cell r="E328">
            <v>1</v>
          </cell>
          <cell r="F328">
            <v>0.5</v>
          </cell>
          <cell r="G328">
            <v>45500</v>
          </cell>
        </row>
        <row r="329">
          <cell r="B329" t="str">
            <v>YHN M240-A95</v>
          </cell>
          <cell r="C329" t="str">
            <v>KÑp bÊm ®ång nh«m YHN    M240-A95</v>
          </cell>
          <cell r="D329" t="str">
            <v>C¸i</v>
          </cell>
          <cell r="E329">
            <v>1</v>
          </cell>
          <cell r="F329">
            <v>0.5</v>
          </cell>
          <cell r="G329">
            <v>45500</v>
          </cell>
        </row>
        <row r="330">
          <cell r="B330" t="str">
            <v>YHN M240-A70</v>
          </cell>
          <cell r="C330" t="str">
            <v>KÑp bÊm ®ång nh«m YHN    M240-A70</v>
          </cell>
          <cell r="D330" t="str">
            <v>C¸i</v>
          </cell>
          <cell r="E330">
            <v>1</v>
          </cell>
          <cell r="F330">
            <v>0.5</v>
          </cell>
          <cell r="G330">
            <v>45500</v>
          </cell>
        </row>
        <row r="331">
          <cell r="B331" t="str">
            <v>YHN M240-A50</v>
          </cell>
          <cell r="C331" t="str">
            <v>KÑp bÊm ®ång nh«m YHN    M240-A50</v>
          </cell>
          <cell r="D331" t="str">
            <v>C¸i</v>
          </cell>
          <cell r="E331">
            <v>1</v>
          </cell>
          <cell r="F331">
            <v>0.5</v>
          </cell>
          <cell r="G331">
            <v>45500</v>
          </cell>
        </row>
        <row r="332">
          <cell r="B332" t="str">
            <v>YHN M185-A240</v>
          </cell>
          <cell r="C332" t="str">
            <v>KÑp bÊm ®ång nh«m YHN    M185-A240</v>
          </cell>
          <cell r="D332" t="str">
            <v>C¸i</v>
          </cell>
          <cell r="E332">
            <v>1</v>
          </cell>
          <cell r="F332">
            <v>0.5</v>
          </cell>
          <cell r="G332">
            <v>45500</v>
          </cell>
        </row>
        <row r="333">
          <cell r="B333" t="str">
            <v>YHN M150-A240</v>
          </cell>
          <cell r="C333" t="str">
            <v>KÑp bÊm ®ång nh«m YHN    M150-A240</v>
          </cell>
          <cell r="D333" t="str">
            <v>C¸i</v>
          </cell>
          <cell r="E333">
            <v>1</v>
          </cell>
          <cell r="F333">
            <v>0.5</v>
          </cell>
          <cell r="G333">
            <v>45500</v>
          </cell>
        </row>
        <row r="334">
          <cell r="B334" t="str">
            <v>YHN M120-A240</v>
          </cell>
          <cell r="C334" t="str">
            <v>KÑp bÊm ®ång nh«m YHN    M120-A240</v>
          </cell>
          <cell r="D334" t="str">
            <v>C¸i</v>
          </cell>
          <cell r="E334">
            <v>1</v>
          </cell>
          <cell r="F334">
            <v>0.5</v>
          </cell>
          <cell r="G334">
            <v>45500</v>
          </cell>
        </row>
        <row r="335">
          <cell r="B335" t="str">
            <v>YHN M95-A240</v>
          </cell>
          <cell r="C335" t="str">
            <v>KÑp bÊm ®ång nh«m YHN    M95-A240</v>
          </cell>
          <cell r="D335" t="str">
            <v>C¸i</v>
          </cell>
          <cell r="E335">
            <v>1</v>
          </cell>
          <cell r="F335">
            <v>0.5</v>
          </cell>
          <cell r="G335">
            <v>45500</v>
          </cell>
        </row>
        <row r="336">
          <cell r="B336" t="str">
            <v>YHN M70-A240</v>
          </cell>
          <cell r="C336" t="str">
            <v>KÑp bÊm ®ång nh«m YHN    M70-A240</v>
          </cell>
          <cell r="D336" t="str">
            <v>C¸i</v>
          </cell>
          <cell r="E336">
            <v>1</v>
          </cell>
          <cell r="F336">
            <v>0.5</v>
          </cell>
          <cell r="G336">
            <v>45500</v>
          </cell>
        </row>
        <row r="337">
          <cell r="B337" t="str">
            <v>YHN M50-A240</v>
          </cell>
          <cell r="C337" t="str">
            <v>KÑp bÊm ®ång nh«m YHN    M50-A240</v>
          </cell>
          <cell r="D337" t="str">
            <v>C¸i</v>
          </cell>
          <cell r="E337">
            <v>1</v>
          </cell>
          <cell r="F337">
            <v>0.5</v>
          </cell>
          <cell r="G337">
            <v>45500</v>
          </cell>
        </row>
        <row r="338">
          <cell r="B338" t="str">
            <v>YHN M-A-240</v>
          </cell>
          <cell r="C338" t="str">
            <v>KÑp bÊm ®ång nh«m YHN    M-A-240</v>
          </cell>
          <cell r="D338" t="str">
            <v>C¸i</v>
          </cell>
          <cell r="E338">
            <v>1</v>
          </cell>
          <cell r="F338">
            <v>0.5</v>
          </cell>
          <cell r="G338">
            <v>45500</v>
          </cell>
        </row>
        <row r="339">
          <cell r="B339" t="str">
            <v>YHN M-A-185/240</v>
          </cell>
          <cell r="C339" t="str">
            <v>KÑp bÊm ®ång nh«m YHN    M-A-240</v>
          </cell>
          <cell r="D339" t="str">
            <v>C¸i</v>
          </cell>
          <cell r="E339">
            <v>1</v>
          </cell>
          <cell r="F339">
            <v>0.5</v>
          </cell>
          <cell r="G339">
            <v>45500</v>
          </cell>
        </row>
        <row r="340">
          <cell r="B340" t="str">
            <v>YHN M-A-150/240</v>
          </cell>
          <cell r="C340" t="str">
            <v>KÑp bÊm ®ång nh«m YHN    M-A-150/240</v>
          </cell>
          <cell r="D340" t="str">
            <v>C¸i</v>
          </cell>
          <cell r="E340">
            <v>1</v>
          </cell>
          <cell r="F340">
            <v>0.5</v>
          </cell>
          <cell r="G340">
            <v>45500</v>
          </cell>
        </row>
        <row r="341">
          <cell r="B341" t="str">
            <v>YHN M-A-120/240</v>
          </cell>
          <cell r="C341" t="str">
            <v>KÑp bÊm ®ång nh«m YHN    M-A-120/240</v>
          </cell>
          <cell r="D341" t="str">
            <v>C¸i</v>
          </cell>
          <cell r="E341">
            <v>1</v>
          </cell>
          <cell r="F341">
            <v>0.5</v>
          </cell>
          <cell r="G341">
            <v>45500</v>
          </cell>
        </row>
        <row r="342">
          <cell r="B342" t="str">
            <v>YHN M-A-95/240</v>
          </cell>
          <cell r="C342" t="str">
            <v>KÑp bÊm ®ång nh«m YHN    M-A-95/240</v>
          </cell>
          <cell r="D342" t="str">
            <v>C¸i</v>
          </cell>
          <cell r="E342">
            <v>1</v>
          </cell>
          <cell r="F342">
            <v>0.5</v>
          </cell>
          <cell r="G342">
            <v>45500</v>
          </cell>
        </row>
        <row r="343">
          <cell r="B343" t="str">
            <v>YHN M-A-70/240</v>
          </cell>
          <cell r="C343" t="str">
            <v>KÑp bÊm ®ång nh«m YHN    M-A-70/240</v>
          </cell>
          <cell r="D343" t="str">
            <v>C¸i</v>
          </cell>
          <cell r="E343">
            <v>1</v>
          </cell>
          <cell r="F343">
            <v>0.5</v>
          </cell>
          <cell r="G343">
            <v>45500</v>
          </cell>
        </row>
        <row r="344">
          <cell r="B344" t="str">
            <v>YHN M-A-50/240</v>
          </cell>
          <cell r="C344" t="str">
            <v>KÑp bÊm ®ång nh«m YHN    M-A-50/240</v>
          </cell>
          <cell r="D344" t="str">
            <v>C¸i</v>
          </cell>
          <cell r="E344">
            <v>1</v>
          </cell>
          <cell r="F344">
            <v>0.5</v>
          </cell>
          <cell r="G344">
            <v>45500</v>
          </cell>
        </row>
        <row r="345">
          <cell r="B345" t="str">
            <v>YHN M-A-240/185</v>
          </cell>
          <cell r="C345" t="str">
            <v>KÑp bÊm ®ång nh«m YHN    M-A-240/185</v>
          </cell>
          <cell r="D345" t="str">
            <v>C¸i</v>
          </cell>
          <cell r="E345">
            <v>1</v>
          </cell>
          <cell r="F345">
            <v>0.5</v>
          </cell>
          <cell r="G345">
            <v>45500</v>
          </cell>
        </row>
        <row r="346">
          <cell r="B346" t="str">
            <v>YHN M-A-240/150</v>
          </cell>
          <cell r="C346" t="str">
            <v>KÑp bÊm ®ång nh«m YHN    M-A-240/150</v>
          </cell>
          <cell r="D346" t="str">
            <v>C¸i</v>
          </cell>
          <cell r="E346">
            <v>1</v>
          </cell>
          <cell r="F346">
            <v>0.5</v>
          </cell>
          <cell r="G346">
            <v>45500</v>
          </cell>
        </row>
        <row r="347">
          <cell r="B347" t="str">
            <v>YHN M-A-240/120</v>
          </cell>
          <cell r="C347" t="str">
            <v>KÑp bÊm ®ång nh«m YHN    M-A-240/120</v>
          </cell>
          <cell r="D347" t="str">
            <v>C¸i</v>
          </cell>
          <cell r="E347">
            <v>1</v>
          </cell>
          <cell r="F347">
            <v>0.5</v>
          </cell>
          <cell r="G347">
            <v>45500</v>
          </cell>
        </row>
        <row r="348">
          <cell r="B348" t="str">
            <v>YHN M-A-240/95</v>
          </cell>
          <cell r="C348" t="str">
            <v>KÑp bÊm ®ång nh«m YHN    M-A-240/95</v>
          </cell>
          <cell r="D348" t="str">
            <v>C¸i</v>
          </cell>
          <cell r="E348">
            <v>1</v>
          </cell>
          <cell r="F348">
            <v>0.5</v>
          </cell>
          <cell r="G348">
            <v>45500</v>
          </cell>
        </row>
        <row r="349">
          <cell r="B349" t="str">
            <v>YHN M-A-240/70</v>
          </cell>
          <cell r="C349" t="str">
            <v>KÑp bÊm ®ång nh«m YHN    M-A-240/70</v>
          </cell>
          <cell r="D349" t="str">
            <v>C¸i</v>
          </cell>
          <cell r="E349">
            <v>1</v>
          </cell>
          <cell r="F349">
            <v>0.5</v>
          </cell>
          <cell r="G349">
            <v>45500</v>
          </cell>
        </row>
        <row r="350">
          <cell r="B350" t="str">
            <v>YHN M-A-240/50</v>
          </cell>
          <cell r="C350" t="str">
            <v>KÑp bÊm ®ång nh«m YHN    M-A-240/50</v>
          </cell>
          <cell r="D350" t="str">
            <v>C¸i</v>
          </cell>
          <cell r="E350">
            <v>1</v>
          </cell>
          <cell r="F350">
            <v>0.5</v>
          </cell>
          <cell r="G350">
            <v>45500</v>
          </cell>
        </row>
        <row r="351">
          <cell r="B351" t="str">
            <v>YHN M95-A185</v>
          </cell>
          <cell r="C351" t="str">
            <v>Lo¹i YHN M-A185</v>
          </cell>
          <cell r="D351" t="str">
            <v>C¸i</v>
          </cell>
          <cell r="E351">
            <v>1</v>
          </cell>
          <cell r="F351">
            <v>0.5</v>
          </cell>
          <cell r="G351">
            <v>42500</v>
          </cell>
        </row>
        <row r="352">
          <cell r="B352" t="str">
            <v>YHN M185-A185</v>
          </cell>
          <cell r="C352" t="str">
            <v>KÑp bÊm ®ång nh«m YHN    M185-A185</v>
          </cell>
          <cell r="D352" t="str">
            <v>C¸i</v>
          </cell>
          <cell r="E352">
            <v>1</v>
          </cell>
          <cell r="F352">
            <v>0.5</v>
          </cell>
          <cell r="G352">
            <v>42500</v>
          </cell>
        </row>
        <row r="353">
          <cell r="B353" t="str">
            <v>YHN M185-A150</v>
          </cell>
          <cell r="C353" t="str">
            <v>KÑp bÊm ®ång nh«m YHN    M185-A150</v>
          </cell>
          <cell r="D353" t="str">
            <v>C¸i</v>
          </cell>
          <cell r="E353">
            <v>1</v>
          </cell>
          <cell r="F353">
            <v>0.5</v>
          </cell>
          <cell r="G353">
            <v>42500</v>
          </cell>
        </row>
        <row r="354">
          <cell r="B354" t="str">
            <v>YHN M185-A120</v>
          </cell>
          <cell r="C354" t="str">
            <v>KÑp bÊm ®ång nh«m YHN    M185-A120</v>
          </cell>
          <cell r="D354" t="str">
            <v>C¸i</v>
          </cell>
          <cell r="E354">
            <v>1</v>
          </cell>
          <cell r="F354">
            <v>0.5</v>
          </cell>
          <cell r="G354">
            <v>42500</v>
          </cell>
        </row>
        <row r="355">
          <cell r="B355" t="str">
            <v>YHN M185-A95</v>
          </cell>
          <cell r="C355" t="str">
            <v>KÑp bÊm ®ång nh«m YHN    M185-A95</v>
          </cell>
          <cell r="D355" t="str">
            <v>C¸i</v>
          </cell>
          <cell r="E355">
            <v>1</v>
          </cell>
          <cell r="F355">
            <v>0.5</v>
          </cell>
          <cell r="G355">
            <v>42500</v>
          </cell>
        </row>
        <row r="356">
          <cell r="B356" t="str">
            <v>YHN M185-A70</v>
          </cell>
          <cell r="C356" t="str">
            <v>KÑp bÊm ®ång nh«m YHN    M185-A70</v>
          </cell>
          <cell r="D356" t="str">
            <v>C¸i</v>
          </cell>
          <cell r="E356">
            <v>1</v>
          </cell>
          <cell r="F356">
            <v>0.5</v>
          </cell>
          <cell r="G356">
            <v>42500</v>
          </cell>
        </row>
        <row r="357">
          <cell r="B357" t="str">
            <v>YHN M185-A50</v>
          </cell>
          <cell r="C357" t="str">
            <v>KÑp bÊm ®ång nh«m YHN    M185-A50</v>
          </cell>
          <cell r="D357" t="str">
            <v>C¸i</v>
          </cell>
          <cell r="E357">
            <v>1</v>
          </cell>
          <cell r="F357">
            <v>0.5</v>
          </cell>
          <cell r="G357">
            <v>42500</v>
          </cell>
        </row>
        <row r="358">
          <cell r="B358" t="str">
            <v>YHN M150-A185</v>
          </cell>
          <cell r="C358" t="str">
            <v>KÑp bÊm ®ång nh«m YHN    M150-A185</v>
          </cell>
          <cell r="D358" t="str">
            <v>C¸i</v>
          </cell>
          <cell r="E358">
            <v>1</v>
          </cell>
          <cell r="F358">
            <v>0.5</v>
          </cell>
          <cell r="G358">
            <v>42500</v>
          </cell>
        </row>
        <row r="359">
          <cell r="B359" t="str">
            <v>YHN M120-A185</v>
          </cell>
          <cell r="C359" t="str">
            <v>KÑp bÊm ®ång nh«m YHN    M120-A185</v>
          </cell>
          <cell r="D359" t="str">
            <v>C¸i</v>
          </cell>
          <cell r="E359">
            <v>1</v>
          </cell>
          <cell r="F359">
            <v>0.5</v>
          </cell>
          <cell r="G359">
            <v>42500</v>
          </cell>
        </row>
        <row r="360">
          <cell r="B360" t="str">
            <v>YHN M95-A185</v>
          </cell>
          <cell r="C360" t="str">
            <v>KÑp bÊm ®ång nh«m YHN    M95-A185</v>
          </cell>
          <cell r="D360" t="str">
            <v>C¸i</v>
          </cell>
          <cell r="E360">
            <v>1</v>
          </cell>
          <cell r="F360">
            <v>0.5</v>
          </cell>
          <cell r="G360">
            <v>42500</v>
          </cell>
        </row>
        <row r="361">
          <cell r="B361" t="str">
            <v>YHN M70-A185</v>
          </cell>
          <cell r="C361" t="str">
            <v>KÑp bÊm ®ång nh«m YHN    M70-A185</v>
          </cell>
          <cell r="D361" t="str">
            <v>C¸i</v>
          </cell>
          <cell r="E361">
            <v>1</v>
          </cell>
          <cell r="F361">
            <v>0.5</v>
          </cell>
          <cell r="G361">
            <v>42500</v>
          </cell>
        </row>
        <row r="362">
          <cell r="B362" t="str">
            <v>YHN M50-A185</v>
          </cell>
          <cell r="C362" t="str">
            <v>KÑp bÊm ®ång nh«m YHN    M50-A185</v>
          </cell>
          <cell r="D362" t="str">
            <v>C¸i</v>
          </cell>
          <cell r="E362">
            <v>1</v>
          </cell>
          <cell r="F362">
            <v>0.5</v>
          </cell>
          <cell r="G362">
            <v>42500</v>
          </cell>
        </row>
        <row r="363">
          <cell r="B363" t="str">
            <v>YHN M-A-185</v>
          </cell>
          <cell r="C363" t="str">
            <v>KÑp bÊm ®ång nh«m YHN    M-A-185</v>
          </cell>
          <cell r="D363" t="str">
            <v>C¸i</v>
          </cell>
          <cell r="E363">
            <v>1</v>
          </cell>
          <cell r="F363">
            <v>0.5</v>
          </cell>
          <cell r="G363">
            <v>42500</v>
          </cell>
        </row>
        <row r="364">
          <cell r="B364" t="str">
            <v>YHN M-A-150/185</v>
          </cell>
          <cell r="C364" t="str">
            <v>KÑp bÊm ®ång nh«m YHN    M-A-150/185</v>
          </cell>
          <cell r="D364" t="str">
            <v>C¸i</v>
          </cell>
          <cell r="E364">
            <v>1</v>
          </cell>
          <cell r="F364">
            <v>0.5</v>
          </cell>
          <cell r="G364">
            <v>42500</v>
          </cell>
        </row>
        <row r="365">
          <cell r="B365" t="str">
            <v>YHN M-A-120/185</v>
          </cell>
          <cell r="C365" t="str">
            <v>KÑp bÊm ®ång nh«m YHN    M-A-120/185</v>
          </cell>
          <cell r="D365" t="str">
            <v>C¸i</v>
          </cell>
          <cell r="E365">
            <v>1</v>
          </cell>
          <cell r="F365">
            <v>0.5</v>
          </cell>
          <cell r="G365">
            <v>42500</v>
          </cell>
        </row>
        <row r="366">
          <cell r="B366" t="str">
            <v>YHN M-A-95/185</v>
          </cell>
          <cell r="C366" t="str">
            <v>KÑp bÊm ®ång nh«m YHN    M-A-95/185</v>
          </cell>
          <cell r="D366" t="str">
            <v>C¸i</v>
          </cell>
          <cell r="E366">
            <v>1</v>
          </cell>
          <cell r="F366">
            <v>0.5</v>
          </cell>
          <cell r="G366">
            <v>42500</v>
          </cell>
        </row>
        <row r="367">
          <cell r="B367" t="str">
            <v>YHN M-A-70/185</v>
          </cell>
          <cell r="C367" t="str">
            <v>KÑp bÊm ®ång nh«m YHN    M-A-70/185</v>
          </cell>
          <cell r="D367" t="str">
            <v>C¸i</v>
          </cell>
          <cell r="E367">
            <v>1</v>
          </cell>
          <cell r="F367">
            <v>0.5</v>
          </cell>
          <cell r="G367">
            <v>42500</v>
          </cell>
        </row>
        <row r="368">
          <cell r="B368" t="str">
            <v>YHN M-A-50/185</v>
          </cell>
          <cell r="C368" t="str">
            <v>KÑp bÊm ®ång nh«m YHN    M-A-50/185</v>
          </cell>
          <cell r="D368" t="str">
            <v>C¸i</v>
          </cell>
          <cell r="E368">
            <v>1</v>
          </cell>
          <cell r="F368">
            <v>0.5</v>
          </cell>
          <cell r="G368">
            <v>42500</v>
          </cell>
        </row>
        <row r="369">
          <cell r="B369" t="str">
            <v>YHN M-A-185/150</v>
          </cell>
          <cell r="C369" t="str">
            <v>KÑp bÊm ®ång nh«m YHN    M-A-185/150</v>
          </cell>
          <cell r="D369" t="str">
            <v>C¸i</v>
          </cell>
          <cell r="E369">
            <v>1</v>
          </cell>
          <cell r="F369">
            <v>0.5</v>
          </cell>
          <cell r="G369">
            <v>42500</v>
          </cell>
        </row>
        <row r="370">
          <cell r="B370" t="str">
            <v>YHN M-A-185/120</v>
          </cell>
          <cell r="C370" t="str">
            <v>KÑp bÊm ®ång nh«m YHN    M-A-185/120</v>
          </cell>
          <cell r="D370" t="str">
            <v>C¸i</v>
          </cell>
          <cell r="E370">
            <v>1</v>
          </cell>
          <cell r="F370">
            <v>0.5</v>
          </cell>
          <cell r="G370">
            <v>42500</v>
          </cell>
        </row>
        <row r="371">
          <cell r="B371" t="str">
            <v>YHN M-A-185/95</v>
          </cell>
          <cell r="C371" t="str">
            <v>KÑp bÊm ®ång nh«m YHN    M-A-185/95</v>
          </cell>
          <cell r="D371" t="str">
            <v>C¸i</v>
          </cell>
          <cell r="E371">
            <v>1</v>
          </cell>
          <cell r="F371">
            <v>0.5</v>
          </cell>
          <cell r="G371">
            <v>42500</v>
          </cell>
        </row>
        <row r="372">
          <cell r="B372" t="str">
            <v>YHN M-A-185/70</v>
          </cell>
          <cell r="C372" t="str">
            <v>KÑp bÊm ®ång nh«m YHN    M-A-185/70</v>
          </cell>
          <cell r="D372" t="str">
            <v>C¸i</v>
          </cell>
          <cell r="E372">
            <v>1</v>
          </cell>
          <cell r="F372">
            <v>0.5</v>
          </cell>
          <cell r="G372">
            <v>42500</v>
          </cell>
        </row>
        <row r="373">
          <cell r="B373" t="str">
            <v>YHN M-A-185/50</v>
          </cell>
          <cell r="C373" t="str">
            <v>KÑp bÊm ®ång nh«m YHN    M-A-185/50</v>
          </cell>
          <cell r="D373" t="str">
            <v>C¸i</v>
          </cell>
          <cell r="E373">
            <v>1</v>
          </cell>
          <cell r="F373">
            <v>0.5</v>
          </cell>
          <cell r="G373">
            <v>42500</v>
          </cell>
        </row>
        <row r="374">
          <cell r="B374" t="str">
            <v>YHN M50-A150</v>
          </cell>
          <cell r="C374" t="str">
            <v>Lo¹i YHN M-A150</v>
          </cell>
          <cell r="D374" t="str">
            <v>C¸i</v>
          </cell>
          <cell r="E374">
            <v>1</v>
          </cell>
          <cell r="F374">
            <v>0.5</v>
          </cell>
          <cell r="G374">
            <v>38000</v>
          </cell>
        </row>
        <row r="375">
          <cell r="B375" t="str">
            <v>YHN M150-A150</v>
          </cell>
          <cell r="C375" t="str">
            <v>KÑp bÊm ®ång nh«m YHN    M150-A150</v>
          </cell>
          <cell r="D375" t="str">
            <v>C¸i</v>
          </cell>
          <cell r="E375">
            <v>1</v>
          </cell>
          <cell r="F375">
            <v>0.5</v>
          </cell>
          <cell r="G375">
            <v>38000</v>
          </cell>
        </row>
        <row r="376">
          <cell r="B376" t="str">
            <v>YHN M150-A120</v>
          </cell>
          <cell r="C376" t="str">
            <v>KÑp bÊm ®ång nh«m YHN    M150-A120</v>
          </cell>
          <cell r="D376" t="str">
            <v>C¸i</v>
          </cell>
          <cell r="E376">
            <v>1</v>
          </cell>
          <cell r="F376">
            <v>0.5</v>
          </cell>
          <cell r="G376">
            <v>38000</v>
          </cell>
        </row>
        <row r="377">
          <cell r="B377" t="str">
            <v>YHN M150-A95</v>
          </cell>
          <cell r="C377" t="str">
            <v>KÑp bÊm ®ång nh«m YHN    M150-A95</v>
          </cell>
          <cell r="D377" t="str">
            <v>C¸i</v>
          </cell>
          <cell r="E377">
            <v>1</v>
          </cell>
          <cell r="F377">
            <v>0.5</v>
          </cell>
          <cell r="G377">
            <v>38000</v>
          </cell>
        </row>
        <row r="378">
          <cell r="B378" t="str">
            <v>YHN M150-A70</v>
          </cell>
          <cell r="C378" t="str">
            <v>KÑp bÊm ®ång nh«m YHN    M150-A70</v>
          </cell>
          <cell r="D378" t="str">
            <v>C¸i</v>
          </cell>
          <cell r="E378">
            <v>1</v>
          </cell>
          <cell r="F378">
            <v>0.5</v>
          </cell>
          <cell r="G378">
            <v>38000</v>
          </cell>
        </row>
        <row r="379">
          <cell r="B379" t="str">
            <v>YHN M150-A50</v>
          </cell>
          <cell r="C379" t="str">
            <v>KÑp bÊm ®ång nh«m YHN    M150-A50</v>
          </cell>
          <cell r="D379" t="str">
            <v>C¸i</v>
          </cell>
          <cell r="E379">
            <v>1</v>
          </cell>
          <cell r="F379">
            <v>0.5</v>
          </cell>
          <cell r="G379">
            <v>38000</v>
          </cell>
        </row>
        <row r="380">
          <cell r="B380" t="str">
            <v>YHN M120-A150</v>
          </cell>
          <cell r="C380" t="str">
            <v>KÑp bÊm ®ång nh«m YHN    M120-A150</v>
          </cell>
          <cell r="D380" t="str">
            <v>C¸i</v>
          </cell>
          <cell r="E380">
            <v>1</v>
          </cell>
          <cell r="F380">
            <v>0.5</v>
          </cell>
          <cell r="G380">
            <v>38000</v>
          </cell>
        </row>
        <row r="381">
          <cell r="B381" t="str">
            <v>YHN M95-A150</v>
          </cell>
          <cell r="C381" t="str">
            <v>KÑp bÊm ®ång nh«m YHN    M95-A150</v>
          </cell>
          <cell r="D381" t="str">
            <v>C¸i</v>
          </cell>
          <cell r="E381">
            <v>1</v>
          </cell>
          <cell r="F381">
            <v>0.5</v>
          </cell>
          <cell r="G381">
            <v>38000</v>
          </cell>
        </row>
        <row r="382">
          <cell r="B382" t="str">
            <v>YHN M70-A150</v>
          </cell>
          <cell r="C382" t="str">
            <v>KÑp bÊm ®ång nh«m YHN    M70-A150</v>
          </cell>
          <cell r="D382" t="str">
            <v>C¸i</v>
          </cell>
          <cell r="E382">
            <v>1</v>
          </cell>
          <cell r="F382">
            <v>0.5</v>
          </cell>
          <cell r="G382">
            <v>38000</v>
          </cell>
        </row>
        <row r="383">
          <cell r="B383" t="str">
            <v>YHN M50-A150</v>
          </cell>
          <cell r="C383" t="str">
            <v>KÑp bÊm ®ång nh«m YHN    M50-A150</v>
          </cell>
          <cell r="D383" t="str">
            <v>C¸i</v>
          </cell>
          <cell r="E383">
            <v>1</v>
          </cell>
          <cell r="F383">
            <v>0.5</v>
          </cell>
          <cell r="G383">
            <v>38000</v>
          </cell>
        </row>
        <row r="384">
          <cell r="B384" t="str">
            <v>YHN M-A-150</v>
          </cell>
          <cell r="C384" t="str">
            <v>KÑp bÊm ®ång nh«m YHN    M-A-150</v>
          </cell>
          <cell r="D384" t="str">
            <v>C¸i</v>
          </cell>
          <cell r="E384">
            <v>1</v>
          </cell>
          <cell r="F384">
            <v>0.5</v>
          </cell>
          <cell r="G384">
            <v>38000</v>
          </cell>
        </row>
        <row r="385">
          <cell r="B385" t="str">
            <v>YHN M-A-150/120</v>
          </cell>
          <cell r="C385" t="str">
            <v>KÑp bÊm ®ång nh«m YHN    M-A-150/120</v>
          </cell>
          <cell r="D385" t="str">
            <v>C¸i</v>
          </cell>
          <cell r="E385">
            <v>1</v>
          </cell>
          <cell r="F385">
            <v>0.5</v>
          </cell>
          <cell r="G385">
            <v>38000</v>
          </cell>
        </row>
        <row r="386">
          <cell r="B386" t="str">
            <v>YHN M-A-150/95</v>
          </cell>
          <cell r="C386" t="str">
            <v>KÑp bÊm ®ång nh«m YHN    M-A-150/95</v>
          </cell>
          <cell r="D386" t="str">
            <v>C¸i</v>
          </cell>
          <cell r="E386">
            <v>1</v>
          </cell>
          <cell r="F386">
            <v>0.5</v>
          </cell>
          <cell r="G386">
            <v>38000</v>
          </cell>
        </row>
        <row r="387">
          <cell r="B387" t="str">
            <v>YHN M-A-150/70</v>
          </cell>
          <cell r="C387" t="str">
            <v>KÑp bÊm ®ång nh«m YHN    M-A-150/70</v>
          </cell>
          <cell r="D387" t="str">
            <v>C¸i</v>
          </cell>
          <cell r="E387">
            <v>1</v>
          </cell>
          <cell r="F387">
            <v>0.5</v>
          </cell>
          <cell r="G387">
            <v>38000</v>
          </cell>
        </row>
        <row r="388">
          <cell r="B388" t="str">
            <v>YHN M-A-150/50</v>
          </cell>
          <cell r="C388" t="str">
            <v>KÑp bÊm ®ång nh«m YHN    M-A-150/50</v>
          </cell>
          <cell r="D388" t="str">
            <v>C¸i</v>
          </cell>
          <cell r="E388">
            <v>1</v>
          </cell>
          <cell r="F388">
            <v>0.5</v>
          </cell>
          <cell r="G388">
            <v>38000</v>
          </cell>
        </row>
        <row r="389">
          <cell r="B389" t="str">
            <v>YHN M-A-120/150</v>
          </cell>
          <cell r="C389" t="str">
            <v>KÑp bÊm ®ång nh«m YHN    M-A-120/150</v>
          </cell>
          <cell r="D389" t="str">
            <v>C¸i</v>
          </cell>
          <cell r="E389">
            <v>1</v>
          </cell>
          <cell r="F389">
            <v>0.5</v>
          </cell>
          <cell r="G389">
            <v>38000</v>
          </cell>
        </row>
        <row r="390">
          <cell r="B390" t="str">
            <v>YHN M-A-95/150</v>
          </cell>
          <cell r="C390" t="str">
            <v>KÑp bÊm ®ång nh«m YHN    M-A-95/150</v>
          </cell>
          <cell r="D390" t="str">
            <v>C¸i</v>
          </cell>
          <cell r="E390">
            <v>1</v>
          </cell>
          <cell r="F390">
            <v>0.5</v>
          </cell>
          <cell r="G390">
            <v>38000</v>
          </cell>
        </row>
        <row r="391">
          <cell r="B391" t="str">
            <v>YHN M-A-70/150</v>
          </cell>
          <cell r="C391" t="str">
            <v>KÑp bÊm ®ång nh«m YHN    M-A-70/150</v>
          </cell>
          <cell r="D391" t="str">
            <v>C¸i</v>
          </cell>
          <cell r="E391">
            <v>1</v>
          </cell>
          <cell r="F391">
            <v>0.5</v>
          </cell>
          <cell r="G391">
            <v>38000</v>
          </cell>
        </row>
        <row r="392">
          <cell r="B392" t="str">
            <v>YHN M-A-50/150</v>
          </cell>
          <cell r="C392" t="str">
            <v>KÑp bÊm ®ång nh«m YHN    M-A-50/150</v>
          </cell>
          <cell r="D392" t="str">
            <v>C¸i</v>
          </cell>
          <cell r="E392">
            <v>1</v>
          </cell>
          <cell r="F392">
            <v>0.5</v>
          </cell>
          <cell r="G392">
            <v>38000</v>
          </cell>
        </row>
        <row r="393">
          <cell r="B393" t="str">
            <v>YHN M-A-95/120</v>
          </cell>
          <cell r="C393" t="str">
            <v>Lo¹i YHN M-A120</v>
          </cell>
          <cell r="D393" t="str">
            <v>C¸i</v>
          </cell>
          <cell r="E393">
            <v>1</v>
          </cell>
          <cell r="F393">
            <v>0.5</v>
          </cell>
          <cell r="G393">
            <v>35000</v>
          </cell>
        </row>
        <row r="394">
          <cell r="B394" t="str">
            <v>YHN M120-A120</v>
          </cell>
          <cell r="C394" t="str">
            <v>KÑp bÊm ®ång nh«m YHN    M120-A120</v>
          </cell>
          <cell r="D394" t="str">
            <v>C¸i</v>
          </cell>
          <cell r="E394">
            <v>1</v>
          </cell>
          <cell r="F394">
            <v>0.5</v>
          </cell>
          <cell r="G394">
            <v>35000</v>
          </cell>
        </row>
        <row r="395">
          <cell r="B395" t="str">
            <v>YHN M120-A95</v>
          </cell>
          <cell r="C395" t="str">
            <v>KÑp bÊm ®ång nh«m YHN    M120-A95</v>
          </cell>
          <cell r="D395" t="str">
            <v>C¸i</v>
          </cell>
          <cell r="E395">
            <v>1</v>
          </cell>
          <cell r="F395">
            <v>0.5</v>
          </cell>
          <cell r="G395">
            <v>35000</v>
          </cell>
        </row>
        <row r="396">
          <cell r="B396" t="str">
            <v>YHN M120-A70</v>
          </cell>
          <cell r="C396" t="str">
            <v>KÑp bÊm ®ång nh«m YHN    M120-A70</v>
          </cell>
          <cell r="D396" t="str">
            <v>C¸i</v>
          </cell>
          <cell r="E396">
            <v>1</v>
          </cell>
          <cell r="F396">
            <v>0.5</v>
          </cell>
          <cell r="G396">
            <v>35000</v>
          </cell>
        </row>
        <row r="397">
          <cell r="B397" t="str">
            <v>YHN M120-A50</v>
          </cell>
          <cell r="C397" t="str">
            <v>KÑp bÊm ®ång nh«m YHN    M120-A50</v>
          </cell>
          <cell r="D397" t="str">
            <v>C¸i</v>
          </cell>
          <cell r="E397">
            <v>1</v>
          </cell>
          <cell r="F397">
            <v>0.5</v>
          </cell>
          <cell r="G397">
            <v>35000</v>
          </cell>
        </row>
        <row r="398">
          <cell r="B398" t="str">
            <v>YHN M95-A120</v>
          </cell>
          <cell r="C398" t="str">
            <v>KÑp bÊm ®ång nh«m YHN    M95-A120</v>
          </cell>
          <cell r="D398" t="str">
            <v>C¸i</v>
          </cell>
          <cell r="E398">
            <v>1</v>
          </cell>
          <cell r="F398">
            <v>0.5</v>
          </cell>
          <cell r="G398">
            <v>35000</v>
          </cell>
        </row>
        <row r="399">
          <cell r="B399" t="str">
            <v>YHN M70-A120</v>
          </cell>
          <cell r="C399" t="str">
            <v>KÑp bÊm ®ång nh«m YHN    M70-A120</v>
          </cell>
          <cell r="D399" t="str">
            <v>C¸i</v>
          </cell>
          <cell r="E399">
            <v>1</v>
          </cell>
          <cell r="F399">
            <v>0.5</v>
          </cell>
          <cell r="G399">
            <v>35000</v>
          </cell>
        </row>
        <row r="400">
          <cell r="B400" t="str">
            <v>YHN M50-A120</v>
          </cell>
          <cell r="C400" t="str">
            <v>KÑp bÊm ®ång nh«m YHN    M50-A120</v>
          </cell>
          <cell r="D400" t="str">
            <v>C¸i</v>
          </cell>
          <cell r="E400">
            <v>1</v>
          </cell>
          <cell r="F400">
            <v>0.5</v>
          </cell>
          <cell r="G400">
            <v>35000</v>
          </cell>
        </row>
        <row r="401">
          <cell r="B401" t="str">
            <v>YHN M-A-120</v>
          </cell>
          <cell r="C401" t="str">
            <v>KÑp bÊm ®ång nh«m YHN    M-A-120</v>
          </cell>
          <cell r="D401" t="str">
            <v>C¸i</v>
          </cell>
          <cell r="E401">
            <v>1</v>
          </cell>
          <cell r="F401">
            <v>0.5</v>
          </cell>
          <cell r="G401">
            <v>35000</v>
          </cell>
        </row>
        <row r="402">
          <cell r="B402" t="str">
            <v>YHN M-A-95/120</v>
          </cell>
          <cell r="C402" t="str">
            <v>KÑp bÊm ®ång nh«m YHN    M-A-95/120</v>
          </cell>
          <cell r="D402" t="str">
            <v>C¸i</v>
          </cell>
          <cell r="E402">
            <v>1</v>
          </cell>
          <cell r="F402">
            <v>0.5</v>
          </cell>
          <cell r="G402">
            <v>35000</v>
          </cell>
        </row>
        <row r="403">
          <cell r="B403" t="str">
            <v>YHN M-A-70/120</v>
          </cell>
          <cell r="C403" t="str">
            <v>KÑp bÊm ®ång nh«m YHN    M-A-70/120</v>
          </cell>
          <cell r="D403" t="str">
            <v>C¸i</v>
          </cell>
          <cell r="E403">
            <v>1</v>
          </cell>
          <cell r="F403">
            <v>0.5</v>
          </cell>
          <cell r="G403">
            <v>35000</v>
          </cell>
        </row>
        <row r="404">
          <cell r="B404" t="str">
            <v>YHN M-A-50/120</v>
          </cell>
          <cell r="C404" t="str">
            <v>KÑp bÊm ®ång nh«m YHN    M-A-50/120</v>
          </cell>
          <cell r="D404" t="str">
            <v>C¸i</v>
          </cell>
          <cell r="E404">
            <v>1</v>
          </cell>
          <cell r="F404">
            <v>0.5</v>
          </cell>
          <cell r="G404">
            <v>35000</v>
          </cell>
        </row>
        <row r="405">
          <cell r="B405" t="str">
            <v>YHN M-A-120/95</v>
          </cell>
          <cell r="C405" t="str">
            <v>KÑp bÊm ®ång nh«m YHN    M-A-120/95</v>
          </cell>
          <cell r="D405" t="str">
            <v>C¸i</v>
          </cell>
          <cell r="E405">
            <v>1</v>
          </cell>
          <cell r="F405">
            <v>0.5</v>
          </cell>
          <cell r="G405">
            <v>35000</v>
          </cell>
        </row>
        <row r="406">
          <cell r="B406" t="str">
            <v>YHN M-A-120/70</v>
          </cell>
          <cell r="C406" t="str">
            <v>KÑp bÊm ®ång nh«m YHN    M-A-120/70</v>
          </cell>
          <cell r="D406" t="str">
            <v>C¸i</v>
          </cell>
          <cell r="E406">
            <v>1</v>
          </cell>
          <cell r="F406">
            <v>0.5</v>
          </cell>
          <cell r="G406">
            <v>35000</v>
          </cell>
        </row>
        <row r="407">
          <cell r="B407" t="str">
            <v>YHN M-A-120/50</v>
          </cell>
          <cell r="C407" t="str">
            <v>KÑp bÊm ®ång nh«m YHN    M-A-120/50</v>
          </cell>
          <cell r="D407" t="str">
            <v>C¸i</v>
          </cell>
          <cell r="E407">
            <v>1</v>
          </cell>
          <cell r="F407">
            <v>0.5</v>
          </cell>
          <cell r="G407">
            <v>35000</v>
          </cell>
        </row>
        <row r="408">
          <cell r="C408" t="str">
            <v>Lo¹i YHN M-A95</v>
          </cell>
        </row>
        <row r="409">
          <cell r="B409" t="str">
            <v>YHN M95-A95</v>
          </cell>
          <cell r="C409" t="str">
            <v>KÑp bÊm ®ång nh«m YHN    M95-A95</v>
          </cell>
          <cell r="D409" t="str">
            <v>C¸i</v>
          </cell>
          <cell r="E409">
            <v>1</v>
          </cell>
          <cell r="F409">
            <v>0.5</v>
          </cell>
          <cell r="G409">
            <v>31500</v>
          </cell>
        </row>
        <row r="410">
          <cell r="B410" t="str">
            <v>YHN M70-A95</v>
          </cell>
          <cell r="C410" t="str">
            <v>KÑp bÊm ®ång nh«m YHN    M70-A95</v>
          </cell>
          <cell r="D410" t="str">
            <v>C¸i</v>
          </cell>
          <cell r="E410">
            <v>1</v>
          </cell>
          <cell r="F410">
            <v>0.5</v>
          </cell>
          <cell r="G410">
            <v>31500</v>
          </cell>
        </row>
        <row r="411">
          <cell r="B411" t="str">
            <v>YHN M50-A95</v>
          </cell>
          <cell r="C411" t="str">
            <v>KÑp bÊm ®ång nh«m YHN    M50-A95</v>
          </cell>
          <cell r="D411" t="str">
            <v>C¸i</v>
          </cell>
          <cell r="E411">
            <v>1</v>
          </cell>
          <cell r="F411">
            <v>0.5</v>
          </cell>
          <cell r="G411">
            <v>31500</v>
          </cell>
        </row>
        <row r="412">
          <cell r="B412" t="str">
            <v>YHN M-A-95</v>
          </cell>
          <cell r="C412" t="str">
            <v>KÑp bÊm ®ång nh«m YHN    M-A-95</v>
          </cell>
          <cell r="D412" t="str">
            <v>C¸i</v>
          </cell>
          <cell r="E412">
            <v>1</v>
          </cell>
          <cell r="F412">
            <v>0.5</v>
          </cell>
          <cell r="G412">
            <v>31500</v>
          </cell>
        </row>
        <row r="413">
          <cell r="B413" t="str">
            <v>YHN M-A-95/70</v>
          </cell>
          <cell r="C413" t="str">
            <v>KÑp bÊm ®ång nh«m YHN    M-A-95/70</v>
          </cell>
          <cell r="D413" t="str">
            <v>C¸i</v>
          </cell>
          <cell r="E413">
            <v>1</v>
          </cell>
          <cell r="F413">
            <v>0.5</v>
          </cell>
          <cell r="G413">
            <v>31500</v>
          </cell>
        </row>
        <row r="414">
          <cell r="B414" t="str">
            <v>YHN M-A-95/50</v>
          </cell>
          <cell r="C414" t="str">
            <v>KÑp bÊm ®ång nh«m YHN    M-A-95/50</v>
          </cell>
          <cell r="D414" t="str">
            <v>C¸i</v>
          </cell>
          <cell r="E414">
            <v>1</v>
          </cell>
          <cell r="F414">
            <v>0.5</v>
          </cell>
          <cell r="G414">
            <v>31500</v>
          </cell>
        </row>
        <row r="415">
          <cell r="B415" t="str">
            <v>YHN M-A-70/95</v>
          </cell>
          <cell r="C415" t="str">
            <v>KÑp bÊm ®ång nh«m YHN    M-A-50/95</v>
          </cell>
          <cell r="D415" t="str">
            <v>C¸i</v>
          </cell>
          <cell r="E415">
            <v>1</v>
          </cell>
          <cell r="F415">
            <v>0.5</v>
          </cell>
          <cell r="G415">
            <v>31500</v>
          </cell>
        </row>
        <row r="416">
          <cell r="B416" t="str">
            <v>YHN M-A-50/95</v>
          </cell>
          <cell r="C416" t="str">
            <v>KÑp bÊm ®ång nh«m YHN    M-A-50/95</v>
          </cell>
          <cell r="D416" t="str">
            <v>C¸i</v>
          </cell>
          <cell r="E416">
            <v>1</v>
          </cell>
          <cell r="F416">
            <v>0.5</v>
          </cell>
          <cell r="G416">
            <v>31500</v>
          </cell>
        </row>
        <row r="417">
          <cell r="C417" t="str">
            <v>Lo¹i YHN M-A70</v>
          </cell>
        </row>
        <row r="418">
          <cell r="B418" t="str">
            <v>YHN M70-A70</v>
          </cell>
          <cell r="C418" t="str">
            <v>KÑp bÊm ®ång nh«m YHN    M70-A70</v>
          </cell>
          <cell r="D418" t="str">
            <v>C¸i</v>
          </cell>
          <cell r="E418">
            <v>1</v>
          </cell>
          <cell r="F418">
            <v>0.5</v>
          </cell>
          <cell r="G418">
            <v>26500</v>
          </cell>
        </row>
        <row r="419">
          <cell r="B419" t="str">
            <v>YHN M-A-70</v>
          </cell>
          <cell r="C419" t="str">
            <v>KÑp bÊm ®ång nh«m YHN    M-A-70</v>
          </cell>
          <cell r="D419" t="str">
            <v>C¸i</v>
          </cell>
          <cell r="E419">
            <v>1</v>
          </cell>
          <cell r="F419">
            <v>0.5</v>
          </cell>
          <cell r="G419">
            <v>26500</v>
          </cell>
        </row>
        <row r="420">
          <cell r="B420" t="str">
            <v>YHN M-A-70/50</v>
          </cell>
          <cell r="C420" t="str">
            <v>KÑp bÊm ®ång nh«m YHN    M-A70/50</v>
          </cell>
          <cell r="D420" t="str">
            <v>C¸i</v>
          </cell>
          <cell r="E420">
            <v>1</v>
          </cell>
          <cell r="F420">
            <v>0.5</v>
          </cell>
          <cell r="G420">
            <v>26500</v>
          </cell>
        </row>
        <row r="421">
          <cell r="B421" t="str">
            <v>YHN M-A-50/70</v>
          </cell>
          <cell r="C421" t="str">
            <v>KÑp bÊm ®ång nh«m YHN    M-A-50/70</v>
          </cell>
          <cell r="D421" t="str">
            <v>C¸i</v>
          </cell>
          <cell r="E421">
            <v>1</v>
          </cell>
          <cell r="F421">
            <v>0.5</v>
          </cell>
          <cell r="G421">
            <v>26500</v>
          </cell>
        </row>
        <row r="422">
          <cell r="B422" t="str">
            <v>YHN M70-A50</v>
          </cell>
          <cell r="C422" t="str">
            <v>KÑp bÊm ®ång nh«m YHN    M70-A50</v>
          </cell>
          <cell r="D422" t="str">
            <v>C¸i</v>
          </cell>
          <cell r="E422">
            <v>1</v>
          </cell>
          <cell r="F422">
            <v>0.5</v>
          </cell>
          <cell r="G422">
            <v>26500</v>
          </cell>
        </row>
        <row r="423">
          <cell r="B423" t="str">
            <v>YHN M240-120</v>
          </cell>
          <cell r="C423" t="str">
            <v>Lo¹i YHN M-A50</v>
          </cell>
          <cell r="D423" t="str">
            <v>C¸i</v>
          </cell>
          <cell r="E423">
            <v>1</v>
          </cell>
          <cell r="F423">
            <v>0.5</v>
          </cell>
          <cell r="G423">
            <v>35500</v>
          </cell>
        </row>
        <row r="424">
          <cell r="B424" t="str">
            <v>YHN M50-A50</v>
          </cell>
          <cell r="C424" t="str">
            <v>KÑp bÊm ®ång nh«m YHN    M50-A50</v>
          </cell>
          <cell r="D424" t="str">
            <v>C¸i</v>
          </cell>
          <cell r="E424">
            <v>1</v>
          </cell>
          <cell r="F424">
            <v>0.5</v>
          </cell>
          <cell r="G424">
            <v>9000</v>
          </cell>
        </row>
        <row r="425">
          <cell r="B425" t="str">
            <v>YHN M240-95</v>
          </cell>
          <cell r="C425" t="str">
            <v>KÑp bÊm ®ång  YHN    M240-95</v>
          </cell>
          <cell r="D425" t="str">
            <v>C¸i</v>
          </cell>
          <cell r="E425">
            <v>1</v>
          </cell>
          <cell r="F425">
            <v>0.5</v>
          </cell>
          <cell r="G425">
            <v>35500</v>
          </cell>
        </row>
        <row r="426">
          <cell r="B426" t="str">
            <v>YHN M240-50</v>
          </cell>
          <cell r="C426" t="str">
            <v>KÑp bÊm ®ång</v>
          </cell>
          <cell r="D426" t="str">
            <v>C¸i</v>
          </cell>
          <cell r="E426">
            <v>1</v>
          </cell>
          <cell r="F426">
            <v>0.5</v>
          </cell>
          <cell r="G426">
            <v>35500</v>
          </cell>
        </row>
        <row r="427">
          <cell r="B427" t="str">
            <v>YHN M185-240</v>
          </cell>
          <cell r="C427" t="str">
            <v>Lo¹i YHN M240</v>
          </cell>
          <cell r="D427" t="str">
            <v>C¸i</v>
          </cell>
          <cell r="E427">
            <v>1</v>
          </cell>
          <cell r="F427">
            <v>0.5</v>
          </cell>
          <cell r="G427">
            <v>35500</v>
          </cell>
        </row>
        <row r="428">
          <cell r="B428" t="str">
            <v>YHN M240</v>
          </cell>
          <cell r="C428" t="str">
            <v>KÑp bÊm ®ång  YHN    M240</v>
          </cell>
          <cell r="D428" t="str">
            <v>C¸i</v>
          </cell>
          <cell r="E428">
            <v>1</v>
          </cell>
          <cell r="F428">
            <v>0.5</v>
          </cell>
          <cell r="G428">
            <v>35500</v>
          </cell>
        </row>
        <row r="429">
          <cell r="B429" t="str">
            <v>YHN M240-240</v>
          </cell>
          <cell r="C429" t="str">
            <v>KÑp bÊm ®ång  YHN    M240-240</v>
          </cell>
          <cell r="D429" t="str">
            <v>C¸i</v>
          </cell>
          <cell r="E429">
            <v>1</v>
          </cell>
          <cell r="F429">
            <v>0.5</v>
          </cell>
          <cell r="G429">
            <v>35500</v>
          </cell>
        </row>
        <row r="430">
          <cell r="B430" t="str">
            <v>YHN M240-185</v>
          </cell>
          <cell r="C430" t="str">
            <v>KÑp bÊm ®ång  YHN    M240-185</v>
          </cell>
          <cell r="D430" t="str">
            <v>C¸i</v>
          </cell>
          <cell r="E430">
            <v>1</v>
          </cell>
          <cell r="F430">
            <v>0.5</v>
          </cell>
          <cell r="G430">
            <v>35500</v>
          </cell>
        </row>
        <row r="431">
          <cell r="B431" t="str">
            <v>YHN M240-150</v>
          </cell>
          <cell r="C431" t="str">
            <v>KÑp bÊm ®ång  YHN    M240-150</v>
          </cell>
          <cell r="D431" t="str">
            <v>C¸i</v>
          </cell>
          <cell r="E431">
            <v>1</v>
          </cell>
          <cell r="F431">
            <v>0.5</v>
          </cell>
          <cell r="G431">
            <v>35500</v>
          </cell>
        </row>
        <row r="432">
          <cell r="B432" t="str">
            <v>YHN M240-120</v>
          </cell>
          <cell r="C432" t="str">
            <v>KÑp bÊm ®ång  YHN    M240-120</v>
          </cell>
          <cell r="D432" t="str">
            <v>C¸i</v>
          </cell>
          <cell r="E432">
            <v>1</v>
          </cell>
          <cell r="F432">
            <v>0.5</v>
          </cell>
          <cell r="G432">
            <v>35500</v>
          </cell>
        </row>
        <row r="433">
          <cell r="B433" t="str">
            <v>YHN M240-120</v>
          </cell>
          <cell r="C433" t="str">
            <v>KÑp bÊm ®ång  YHN    M240-120</v>
          </cell>
          <cell r="D433" t="str">
            <v>C¸i</v>
          </cell>
          <cell r="E433">
            <v>1</v>
          </cell>
          <cell r="F433">
            <v>0.5</v>
          </cell>
          <cell r="G433">
            <v>35500</v>
          </cell>
        </row>
        <row r="434">
          <cell r="B434" t="str">
            <v>YHN M240-95</v>
          </cell>
          <cell r="C434" t="str">
            <v>KÑp bÊm ®ång  YHN    M240-95</v>
          </cell>
          <cell r="D434" t="str">
            <v>C¸i</v>
          </cell>
          <cell r="E434">
            <v>1</v>
          </cell>
          <cell r="F434">
            <v>0.5</v>
          </cell>
          <cell r="G434">
            <v>35500</v>
          </cell>
        </row>
        <row r="435">
          <cell r="B435" t="str">
            <v>YHN M240-50</v>
          </cell>
          <cell r="C435" t="str">
            <v>KÑp bÊm ®ång  YHN    M240-50</v>
          </cell>
          <cell r="D435" t="str">
            <v>C¸i</v>
          </cell>
          <cell r="E435">
            <v>1</v>
          </cell>
          <cell r="F435">
            <v>0.5</v>
          </cell>
          <cell r="G435">
            <v>35500</v>
          </cell>
        </row>
        <row r="436">
          <cell r="B436" t="str">
            <v>YHN M185-240</v>
          </cell>
          <cell r="C436" t="str">
            <v>KÑp bÊm ®ång  YHN    M185-240</v>
          </cell>
          <cell r="D436" t="str">
            <v>C¸i</v>
          </cell>
          <cell r="E436">
            <v>1</v>
          </cell>
          <cell r="F436">
            <v>0.5</v>
          </cell>
          <cell r="G436">
            <v>35500</v>
          </cell>
        </row>
        <row r="437">
          <cell r="B437" t="str">
            <v>YHN M150-240</v>
          </cell>
          <cell r="C437" t="str">
            <v>KÑp bÊm ®ång  YHN    M150-240</v>
          </cell>
          <cell r="D437" t="str">
            <v>C¸i</v>
          </cell>
          <cell r="E437">
            <v>1</v>
          </cell>
          <cell r="F437">
            <v>0.5</v>
          </cell>
          <cell r="G437">
            <v>35500</v>
          </cell>
        </row>
        <row r="438">
          <cell r="B438" t="str">
            <v>YHN M120-240</v>
          </cell>
          <cell r="C438" t="str">
            <v>KÑp bÊm ®ång  YHN    M120-240</v>
          </cell>
          <cell r="D438" t="str">
            <v>C¸i</v>
          </cell>
          <cell r="E438">
            <v>1</v>
          </cell>
          <cell r="F438">
            <v>0.5</v>
          </cell>
          <cell r="G438">
            <v>35500</v>
          </cell>
        </row>
        <row r="439">
          <cell r="B439" t="str">
            <v>YHN M95-240</v>
          </cell>
          <cell r="C439" t="str">
            <v>KÑp bÊm ®ång  YHN    M95-240</v>
          </cell>
          <cell r="D439" t="str">
            <v>C¸i</v>
          </cell>
          <cell r="E439">
            <v>1</v>
          </cell>
          <cell r="F439">
            <v>0.5</v>
          </cell>
          <cell r="G439">
            <v>35500</v>
          </cell>
        </row>
        <row r="440">
          <cell r="B440" t="str">
            <v>YHN M70-240</v>
          </cell>
          <cell r="C440" t="str">
            <v>KÑp bÊm ®ång  YHN    M70-240</v>
          </cell>
          <cell r="D440" t="str">
            <v>C¸i</v>
          </cell>
          <cell r="E440">
            <v>1</v>
          </cell>
          <cell r="F440">
            <v>0.5</v>
          </cell>
          <cell r="G440">
            <v>35500</v>
          </cell>
        </row>
        <row r="441">
          <cell r="B441" t="str">
            <v>YHN M50-240</v>
          </cell>
          <cell r="C441" t="str">
            <v>KÑp bÊm ®ång  YHN    M50-240</v>
          </cell>
          <cell r="D441" t="str">
            <v>C¸i</v>
          </cell>
          <cell r="E441">
            <v>1</v>
          </cell>
          <cell r="F441">
            <v>0.5</v>
          </cell>
          <cell r="G441">
            <v>35500</v>
          </cell>
        </row>
        <row r="442">
          <cell r="B442" t="str">
            <v>YHN M120-185</v>
          </cell>
          <cell r="C442" t="str">
            <v>Lo¹i YHN M185</v>
          </cell>
          <cell r="D442" t="str">
            <v>C¸i</v>
          </cell>
          <cell r="E442">
            <v>1</v>
          </cell>
          <cell r="F442">
            <v>0.5</v>
          </cell>
          <cell r="G442">
            <v>32500</v>
          </cell>
        </row>
        <row r="443">
          <cell r="B443" t="str">
            <v>YHN M185</v>
          </cell>
          <cell r="C443" t="str">
            <v>KÑp bÊm ®ång  YHN    M185</v>
          </cell>
          <cell r="D443" t="str">
            <v>C¸i</v>
          </cell>
          <cell r="E443">
            <v>1</v>
          </cell>
          <cell r="F443">
            <v>0.5</v>
          </cell>
          <cell r="G443">
            <v>32500</v>
          </cell>
        </row>
        <row r="444">
          <cell r="B444" t="str">
            <v>YHN M185-185</v>
          </cell>
          <cell r="C444" t="str">
            <v>KÑp bÊm ®ång  YHN    M185-185</v>
          </cell>
          <cell r="D444" t="str">
            <v>C¸i</v>
          </cell>
          <cell r="E444">
            <v>1</v>
          </cell>
          <cell r="F444">
            <v>0.5</v>
          </cell>
          <cell r="G444">
            <v>32500</v>
          </cell>
        </row>
        <row r="445">
          <cell r="B445" t="str">
            <v>YHN M185-150</v>
          </cell>
          <cell r="C445" t="str">
            <v>KÑp bÊm ®ång  YHN    M185-150</v>
          </cell>
          <cell r="D445" t="str">
            <v>C¸i</v>
          </cell>
          <cell r="E445">
            <v>1</v>
          </cell>
          <cell r="F445">
            <v>0.5</v>
          </cell>
          <cell r="G445">
            <v>32500</v>
          </cell>
        </row>
        <row r="446">
          <cell r="B446" t="str">
            <v>YHN M185-120</v>
          </cell>
          <cell r="C446" t="str">
            <v>KÑp bÊm ®ång  YHN    M185-120</v>
          </cell>
          <cell r="D446" t="str">
            <v>C¸i</v>
          </cell>
          <cell r="E446">
            <v>1</v>
          </cell>
          <cell r="F446">
            <v>0.5</v>
          </cell>
          <cell r="G446">
            <v>32500</v>
          </cell>
        </row>
        <row r="447">
          <cell r="B447" t="str">
            <v>YHN M185-95</v>
          </cell>
          <cell r="C447" t="str">
            <v>KÑp bÊm ®ång  YHN    M185-95</v>
          </cell>
          <cell r="D447" t="str">
            <v>C¸i</v>
          </cell>
          <cell r="E447">
            <v>1</v>
          </cell>
          <cell r="F447">
            <v>0.5</v>
          </cell>
          <cell r="G447">
            <v>32500</v>
          </cell>
        </row>
        <row r="448">
          <cell r="B448" t="str">
            <v>YHN M185-70</v>
          </cell>
          <cell r="C448" t="str">
            <v>KÑp bÊm ®ång  YHN    M185-70</v>
          </cell>
          <cell r="D448" t="str">
            <v>C¸i</v>
          </cell>
          <cell r="E448">
            <v>1</v>
          </cell>
          <cell r="F448">
            <v>0.5</v>
          </cell>
          <cell r="G448">
            <v>32500</v>
          </cell>
        </row>
        <row r="449">
          <cell r="B449" t="str">
            <v>YHN M185-50</v>
          </cell>
          <cell r="C449" t="str">
            <v>KÑp bÊm ®ång  YHN    M185-50</v>
          </cell>
          <cell r="D449" t="str">
            <v>C¸i</v>
          </cell>
          <cell r="E449">
            <v>1</v>
          </cell>
          <cell r="F449">
            <v>0.5</v>
          </cell>
          <cell r="G449">
            <v>32500</v>
          </cell>
        </row>
        <row r="450">
          <cell r="B450" t="str">
            <v>YHN M150-185</v>
          </cell>
          <cell r="C450" t="str">
            <v>KÑp bÊm ®ång  YHN    M150-185</v>
          </cell>
          <cell r="D450" t="str">
            <v>C¸i</v>
          </cell>
          <cell r="E450">
            <v>1</v>
          </cell>
          <cell r="F450">
            <v>0.5</v>
          </cell>
          <cell r="G450">
            <v>32500</v>
          </cell>
        </row>
        <row r="451">
          <cell r="B451" t="str">
            <v>YHN M120-185</v>
          </cell>
          <cell r="C451" t="str">
            <v>KÑp bÊm ®ång  YHN    M120-185</v>
          </cell>
          <cell r="D451" t="str">
            <v>C¸i</v>
          </cell>
          <cell r="E451">
            <v>1</v>
          </cell>
          <cell r="F451">
            <v>0.5</v>
          </cell>
          <cell r="G451">
            <v>32500</v>
          </cell>
        </row>
        <row r="452">
          <cell r="B452" t="str">
            <v>YHN M95-185</v>
          </cell>
          <cell r="C452" t="str">
            <v>KÑp bÊm ®ång  YHN    M95-185</v>
          </cell>
          <cell r="D452" t="str">
            <v>C¸i</v>
          </cell>
          <cell r="E452">
            <v>1</v>
          </cell>
          <cell r="F452">
            <v>0.5</v>
          </cell>
          <cell r="G452">
            <v>32500</v>
          </cell>
        </row>
        <row r="453">
          <cell r="B453" t="str">
            <v>YHN M70-185</v>
          </cell>
          <cell r="C453" t="str">
            <v>KÑp bÊm ®ång  YHN    M70-185</v>
          </cell>
          <cell r="D453" t="str">
            <v>C¸i</v>
          </cell>
          <cell r="E453">
            <v>1</v>
          </cell>
          <cell r="F453">
            <v>0.5</v>
          </cell>
          <cell r="G453">
            <v>32500</v>
          </cell>
        </row>
        <row r="454">
          <cell r="B454" t="str">
            <v>YHN M50-185</v>
          </cell>
          <cell r="C454" t="str">
            <v>KÑp bÊm ®ång  YHN    M50-185</v>
          </cell>
          <cell r="D454" t="str">
            <v>C¸i</v>
          </cell>
          <cell r="E454">
            <v>1</v>
          </cell>
          <cell r="F454">
            <v>0.5</v>
          </cell>
          <cell r="G454">
            <v>32500</v>
          </cell>
        </row>
        <row r="455">
          <cell r="B455" t="str">
            <v>YHN M50-150</v>
          </cell>
          <cell r="C455" t="str">
            <v>Lo¹i YHN M150</v>
          </cell>
          <cell r="D455" t="str">
            <v>C¸i</v>
          </cell>
          <cell r="E455">
            <v>1</v>
          </cell>
          <cell r="F455">
            <v>0.5</v>
          </cell>
          <cell r="G455">
            <v>29500</v>
          </cell>
        </row>
        <row r="456">
          <cell r="B456" t="str">
            <v>YHN M150</v>
          </cell>
          <cell r="C456" t="str">
            <v>KÑp bÊm ®ång  YHN    M150</v>
          </cell>
          <cell r="D456" t="str">
            <v>C¸i</v>
          </cell>
          <cell r="E456">
            <v>1</v>
          </cell>
          <cell r="F456">
            <v>0.5</v>
          </cell>
          <cell r="G456">
            <v>29500</v>
          </cell>
        </row>
        <row r="457">
          <cell r="B457" t="str">
            <v>YHN M150-150</v>
          </cell>
          <cell r="C457" t="str">
            <v>KÑp bÊm ®ång  YHN    M150-150</v>
          </cell>
          <cell r="D457" t="str">
            <v>C¸i</v>
          </cell>
          <cell r="E457">
            <v>1</v>
          </cell>
          <cell r="F457">
            <v>0.5</v>
          </cell>
          <cell r="G457">
            <v>29500</v>
          </cell>
        </row>
        <row r="458">
          <cell r="B458" t="str">
            <v>YHN M150-120</v>
          </cell>
          <cell r="C458" t="str">
            <v>KÑp bÊm ®ång  YHN    M150-120</v>
          </cell>
          <cell r="D458" t="str">
            <v>C¸i</v>
          </cell>
          <cell r="E458">
            <v>1</v>
          </cell>
          <cell r="F458">
            <v>0.5</v>
          </cell>
          <cell r="G458">
            <v>29500</v>
          </cell>
        </row>
        <row r="459">
          <cell r="B459" t="str">
            <v>YHN M150-95</v>
          </cell>
          <cell r="C459" t="str">
            <v>KÑp bÊm ®ång  YHN    M150-95</v>
          </cell>
          <cell r="D459" t="str">
            <v>C¸i</v>
          </cell>
          <cell r="E459">
            <v>1</v>
          </cell>
          <cell r="F459">
            <v>0.5</v>
          </cell>
          <cell r="G459">
            <v>29500</v>
          </cell>
        </row>
        <row r="460">
          <cell r="B460" t="str">
            <v>YHN M150-70</v>
          </cell>
          <cell r="C460" t="str">
            <v>KÑp bÊm ®ång  YHN    M150-70</v>
          </cell>
          <cell r="D460" t="str">
            <v>C¸i</v>
          </cell>
          <cell r="E460">
            <v>1</v>
          </cell>
          <cell r="F460">
            <v>0.5</v>
          </cell>
          <cell r="G460">
            <v>29500</v>
          </cell>
        </row>
        <row r="461">
          <cell r="B461" t="str">
            <v>YHN M120-150</v>
          </cell>
          <cell r="C461" t="str">
            <v>KÑp bÊm ®ång  YHN    M120-150</v>
          </cell>
          <cell r="D461" t="str">
            <v>C¸i</v>
          </cell>
          <cell r="E461">
            <v>1</v>
          </cell>
          <cell r="F461">
            <v>0.5</v>
          </cell>
          <cell r="G461">
            <v>29500</v>
          </cell>
        </row>
        <row r="462">
          <cell r="B462" t="str">
            <v>YHN M95-150</v>
          </cell>
          <cell r="C462" t="str">
            <v>KÑp bÊm ®ång  YHN    M95-150</v>
          </cell>
          <cell r="D462" t="str">
            <v>C¸i</v>
          </cell>
          <cell r="E462">
            <v>1</v>
          </cell>
          <cell r="F462">
            <v>0.5</v>
          </cell>
          <cell r="G462">
            <v>29500</v>
          </cell>
        </row>
        <row r="463">
          <cell r="B463" t="str">
            <v>YHN M70-150</v>
          </cell>
          <cell r="C463" t="str">
            <v>KÑp bÊm ®ång  YHN    M70-150</v>
          </cell>
          <cell r="D463" t="str">
            <v>C¸i</v>
          </cell>
          <cell r="E463">
            <v>1</v>
          </cell>
          <cell r="F463">
            <v>0.5</v>
          </cell>
          <cell r="G463">
            <v>29500</v>
          </cell>
        </row>
        <row r="464">
          <cell r="B464" t="str">
            <v>YHN M50-150</v>
          </cell>
          <cell r="C464" t="str">
            <v>KÑp bÊm ®ång  YHN    M50-150</v>
          </cell>
          <cell r="D464" t="str">
            <v>C¸i</v>
          </cell>
          <cell r="E464">
            <v>1</v>
          </cell>
          <cell r="F464">
            <v>0.5</v>
          </cell>
          <cell r="G464">
            <v>29500</v>
          </cell>
        </row>
        <row r="465">
          <cell r="C465" t="str">
            <v>Lo¹i YHN M120</v>
          </cell>
        </row>
        <row r="466">
          <cell r="B466" t="str">
            <v>YHN M120</v>
          </cell>
          <cell r="C466" t="str">
            <v>KÑp bÊm ®ång  YHN    M120</v>
          </cell>
          <cell r="D466" t="str">
            <v>C¸i</v>
          </cell>
          <cell r="E466">
            <v>1</v>
          </cell>
          <cell r="F466">
            <v>0.5</v>
          </cell>
          <cell r="G466">
            <v>29500</v>
          </cell>
        </row>
        <row r="467">
          <cell r="B467" t="str">
            <v>YHN M120-120</v>
          </cell>
          <cell r="C467" t="str">
            <v>KÑp bÊm ®ång  YHN    M120-120</v>
          </cell>
          <cell r="D467" t="str">
            <v>C¸i</v>
          </cell>
          <cell r="E467">
            <v>1</v>
          </cell>
          <cell r="F467">
            <v>0.5</v>
          </cell>
          <cell r="G467">
            <v>29500</v>
          </cell>
        </row>
        <row r="468">
          <cell r="B468" t="str">
            <v>YHN M120-95</v>
          </cell>
          <cell r="C468" t="str">
            <v>KÑp bÊm ®ång  YHN    M120-95</v>
          </cell>
          <cell r="D468" t="str">
            <v>C¸i</v>
          </cell>
          <cell r="E468">
            <v>1</v>
          </cell>
          <cell r="F468">
            <v>0.5</v>
          </cell>
          <cell r="G468">
            <v>29500</v>
          </cell>
        </row>
        <row r="469">
          <cell r="B469" t="str">
            <v>YHN M120-70</v>
          </cell>
          <cell r="C469" t="str">
            <v>KÑp bÊm ®ång  YHN    M120-70</v>
          </cell>
          <cell r="D469" t="str">
            <v>C¸i</v>
          </cell>
          <cell r="E469">
            <v>1</v>
          </cell>
          <cell r="F469">
            <v>0.5</v>
          </cell>
          <cell r="G469">
            <v>25500</v>
          </cell>
        </row>
        <row r="470">
          <cell r="B470" t="str">
            <v>YHN M120-50</v>
          </cell>
          <cell r="C470" t="str">
            <v>KÑp bÊm ®ång  YHN    M120-50</v>
          </cell>
          <cell r="D470" t="str">
            <v>C¸i</v>
          </cell>
          <cell r="E470">
            <v>1</v>
          </cell>
          <cell r="F470">
            <v>0.5</v>
          </cell>
          <cell r="G470">
            <v>25500</v>
          </cell>
        </row>
        <row r="471">
          <cell r="B471" t="str">
            <v>YHN M95-120</v>
          </cell>
          <cell r="C471" t="str">
            <v>KÑp bÊm ®ång  YHN    M95-120</v>
          </cell>
          <cell r="D471" t="str">
            <v>C¸i</v>
          </cell>
          <cell r="E471">
            <v>1</v>
          </cell>
          <cell r="F471">
            <v>0.5</v>
          </cell>
          <cell r="G471">
            <v>29500</v>
          </cell>
        </row>
        <row r="472">
          <cell r="B472" t="str">
            <v>YHN M70-120</v>
          </cell>
          <cell r="C472" t="str">
            <v>KÑp bÊm ®ång  YHN    M70-120</v>
          </cell>
          <cell r="D472" t="str">
            <v>C¸i</v>
          </cell>
          <cell r="E472">
            <v>1</v>
          </cell>
          <cell r="F472">
            <v>0.5</v>
          </cell>
          <cell r="G472">
            <v>29500</v>
          </cell>
        </row>
        <row r="473">
          <cell r="B473" t="str">
            <v>YHN M50-120</v>
          </cell>
          <cell r="C473" t="str">
            <v>KÑp bÊm ®ång  YHN    M50-120</v>
          </cell>
          <cell r="D473" t="str">
            <v>C¸i</v>
          </cell>
          <cell r="E473">
            <v>1</v>
          </cell>
          <cell r="F473">
            <v>0.5</v>
          </cell>
          <cell r="G473">
            <v>29500</v>
          </cell>
        </row>
        <row r="474">
          <cell r="B474" t="str">
            <v>YHN M70-70</v>
          </cell>
          <cell r="C474" t="str">
            <v>Lo¹i YHN M95</v>
          </cell>
          <cell r="D474" t="str">
            <v>C¸i</v>
          </cell>
          <cell r="E474">
            <v>1</v>
          </cell>
          <cell r="F474">
            <v>0.5</v>
          </cell>
          <cell r="G474">
            <v>19500</v>
          </cell>
        </row>
        <row r="475">
          <cell r="B475" t="str">
            <v>YHN M95</v>
          </cell>
          <cell r="C475" t="str">
            <v>KÑp bÊm ®ång  YHN    M95</v>
          </cell>
          <cell r="D475" t="str">
            <v>C¸i</v>
          </cell>
          <cell r="E475">
            <v>1</v>
          </cell>
          <cell r="F475">
            <v>0.5</v>
          </cell>
          <cell r="G475">
            <v>22500</v>
          </cell>
        </row>
        <row r="476">
          <cell r="B476" t="str">
            <v>YHN M95-95</v>
          </cell>
          <cell r="C476" t="str">
            <v>KÑp bÊm ®ång  YHN    M95-95</v>
          </cell>
          <cell r="D476" t="str">
            <v>C¸i</v>
          </cell>
          <cell r="E476">
            <v>1</v>
          </cell>
          <cell r="F476">
            <v>0.5</v>
          </cell>
          <cell r="G476">
            <v>22500</v>
          </cell>
        </row>
        <row r="477">
          <cell r="B477" t="str">
            <v>YHN M95-70</v>
          </cell>
          <cell r="C477" t="str">
            <v>KÑp bÊm ®ång  YHN    M95-70</v>
          </cell>
          <cell r="D477" t="str">
            <v>C¸i</v>
          </cell>
          <cell r="E477">
            <v>1</v>
          </cell>
          <cell r="F477">
            <v>0.5</v>
          </cell>
          <cell r="G477">
            <v>22500</v>
          </cell>
        </row>
        <row r="478">
          <cell r="B478" t="str">
            <v>YHN M95-50</v>
          </cell>
          <cell r="C478" t="str">
            <v>KÑp bÊm ®ång  YHN    M95-50</v>
          </cell>
          <cell r="D478" t="str">
            <v>C¸i</v>
          </cell>
          <cell r="E478">
            <v>1</v>
          </cell>
          <cell r="F478">
            <v>0.5</v>
          </cell>
          <cell r="G478">
            <v>22500</v>
          </cell>
        </row>
        <row r="479">
          <cell r="B479" t="str">
            <v>YHN M70-95</v>
          </cell>
          <cell r="C479" t="str">
            <v>KÑp bÊm ®ång  YHN    M70-95</v>
          </cell>
          <cell r="D479" t="str">
            <v>C¸i</v>
          </cell>
          <cell r="E479">
            <v>1</v>
          </cell>
          <cell r="F479">
            <v>0.5</v>
          </cell>
          <cell r="G479">
            <v>22500</v>
          </cell>
        </row>
        <row r="480">
          <cell r="B480" t="str">
            <v>YHN M50-95</v>
          </cell>
          <cell r="C480" t="str">
            <v>KÑp bÊm ®ång  YHN    M50-95</v>
          </cell>
          <cell r="D480" t="str">
            <v>C¸i</v>
          </cell>
          <cell r="E480">
            <v>1</v>
          </cell>
          <cell r="F480">
            <v>0.5</v>
          </cell>
          <cell r="G480">
            <v>22500</v>
          </cell>
        </row>
        <row r="481">
          <cell r="B481" t="str">
            <v>CSS-2</v>
          </cell>
          <cell r="C481" t="str">
            <v>Lo¹i YHN M70</v>
          </cell>
          <cell r="D481" t="str">
            <v>C¸i</v>
          </cell>
          <cell r="E481">
            <v>1</v>
          </cell>
          <cell r="F481">
            <v>0.5</v>
          </cell>
          <cell r="G481">
            <v>13500</v>
          </cell>
        </row>
        <row r="482">
          <cell r="B482" t="str">
            <v>YHN M70</v>
          </cell>
          <cell r="C482" t="str">
            <v>KÑp bÊm ®ång  YHN    M70</v>
          </cell>
          <cell r="D482" t="str">
            <v>C¸i</v>
          </cell>
          <cell r="E482">
            <v>1</v>
          </cell>
          <cell r="F482">
            <v>0.5</v>
          </cell>
          <cell r="G482">
            <v>19500</v>
          </cell>
        </row>
        <row r="483">
          <cell r="B483" t="str">
            <v>YHN M70-70</v>
          </cell>
          <cell r="C483" t="str">
            <v>KÑp bÊm ®ång  YHN    M70-70</v>
          </cell>
          <cell r="D483" t="str">
            <v>C¸i</v>
          </cell>
          <cell r="E483">
            <v>1</v>
          </cell>
          <cell r="F483">
            <v>0.5</v>
          </cell>
          <cell r="G483">
            <v>19500</v>
          </cell>
        </row>
        <row r="484">
          <cell r="B484" t="str">
            <v>YHN M70-50</v>
          </cell>
          <cell r="C484" t="str">
            <v>KÑp bÊm ®ång  YHN    M70-50</v>
          </cell>
          <cell r="D484" t="str">
            <v>C¸i</v>
          </cell>
          <cell r="E484">
            <v>1</v>
          </cell>
          <cell r="F484">
            <v>0.5</v>
          </cell>
          <cell r="G484">
            <v>19500</v>
          </cell>
        </row>
        <row r="485">
          <cell r="B485" t="str">
            <v>YHN M50-70</v>
          </cell>
          <cell r="C485" t="str">
            <v>KÑp bÊm ®ång  YHN    M50-70</v>
          </cell>
          <cell r="D485" t="str">
            <v>C¸i</v>
          </cell>
          <cell r="E485">
            <v>1</v>
          </cell>
          <cell r="F485">
            <v>0.5</v>
          </cell>
          <cell r="G485">
            <v>19500</v>
          </cell>
        </row>
        <row r="486">
          <cell r="B486" t="str">
            <v>KR-240</v>
          </cell>
          <cell r="C486" t="str">
            <v>Lo¹i YHN M70</v>
          </cell>
          <cell r="D486" t="str">
            <v>C¸i</v>
          </cell>
          <cell r="E486">
            <v>1</v>
          </cell>
          <cell r="F486">
            <v>0.4</v>
          </cell>
          <cell r="G486">
            <v>30000</v>
          </cell>
        </row>
        <row r="487">
          <cell r="B487" t="str">
            <v>YHN M50-50</v>
          </cell>
          <cell r="C487" t="str">
            <v>KÑp bÊm ®ång  YHN    M50-50</v>
          </cell>
          <cell r="D487" t="str">
            <v>C¸i</v>
          </cell>
          <cell r="E487">
            <v>1</v>
          </cell>
          <cell r="F487">
            <v>0.5</v>
          </cell>
          <cell r="G487">
            <v>15500</v>
          </cell>
        </row>
        <row r="488">
          <cell r="B488" t="str">
            <v>YHN M50</v>
          </cell>
          <cell r="C488" t="str">
            <v>KÑp bÊm ®ång  YHN    M50</v>
          </cell>
          <cell r="D488" t="str">
            <v>C¸i</v>
          </cell>
          <cell r="E488">
            <v>1</v>
          </cell>
          <cell r="F488">
            <v>0.5</v>
          </cell>
          <cell r="G488">
            <v>15500</v>
          </cell>
        </row>
        <row r="489">
          <cell r="B489" t="str">
            <v>KR-240/120</v>
          </cell>
          <cell r="C489" t="str">
            <v>KÑp c¸p thÐp</v>
          </cell>
          <cell r="D489" t="str">
            <v>C¸i</v>
          </cell>
          <cell r="E489">
            <v>1</v>
          </cell>
          <cell r="F489">
            <v>0.4</v>
          </cell>
          <cell r="G489">
            <v>30000</v>
          </cell>
        </row>
        <row r="490">
          <cell r="B490" t="str">
            <v>CSS-2</v>
          </cell>
          <cell r="C490" t="str">
            <v>CÆp c¸p thÐp CSS-2</v>
          </cell>
          <cell r="D490" t="str">
            <v>C¸i</v>
          </cell>
          <cell r="E490">
            <v>1</v>
          </cell>
          <cell r="F490">
            <v>0.5</v>
          </cell>
          <cell r="G490">
            <v>13500</v>
          </cell>
        </row>
        <row r="491">
          <cell r="B491" t="str">
            <v>CSS-3</v>
          </cell>
          <cell r="C491" t="str">
            <v>CÆp c¸p thÐp CSS-3</v>
          </cell>
          <cell r="D491" t="str">
            <v>C¸i</v>
          </cell>
          <cell r="E491">
            <v>1</v>
          </cell>
          <cell r="F491">
            <v>0.5</v>
          </cell>
          <cell r="G491">
            <v>16500</v>
          </cell>
        </row>
        <row r="492">
          <cell r="B492" t="str">
            <v>CSS-4</v>
          </cell>
          <cell r="C492" t="str">
            <v>CÆp c¸p thÐp CSS-4</v>
          </cell>
          <cell r="D492" t="str">
            <v>C¸i</v>
          </cell>
          <cell r="E492">
            <v>1</v>
          </cell>
          <cell r="F492">
            <v>0.5</v>
          </cell>
          <cell r="G492">
            <v>19500</v>
          </cell>
        </row>
        <row r="493">
          <cell r="B493" t="str">
            <v>KR-240/35</v>
          </cell>
          <cell r="C493" t="str">
            <v>Phô kiÖn c¸p voÆn xo¾n</v>
          </cell>
          <cell r="D493" t="str">
            <v>C¸i</v>
          </cell>
          <cell r="E493">
            <v>1</v>
          </cell>
          <cell r="F493">
            <v>0.4</v>
          </cell>
          <cell r="G493">
            <v>30000</v>
          </cell>
        </row>
        <row r="494">
          <cell r="B494" t="str">
            <v>KR-185</v>
          </cell>
          <cell r="C494" t="str">
            <v>KÑp r¨ng nh«m</v>
          </cell>
          <cell r="D494" t="str">
            <v>C¸i</v>
          </cell>
          <cell r="E494">
            <v>1</v>
          </cell>
          <cell r="F494">
            <v>0.4</v>
          </cell>
          <cell r="G494">
            <v>30000</v>
          </cell>
        </row>
        <row r="495">
          <cell r="B495" t="str">
            <v>KR-240</v>
          </cell>
          <cell r="C495" t="str">
            <v>KÑp r¨ng KR-240</v>
          </cell>
          <cell r="D495" t="str">
            <v>C¸i</v>
          </cell>
          <cell r="E495">
            <v>1</v>
          </cell>
          <cell r="F495">
            <v>0.4</v>
          </cell>
          <cell r="G495">
            <v>31500</v>
          </cell>
        </row>
        <row r="496">
          <cell r="B496" t="str">
            <v>KR-240/185</v>
          </cell>
          <cell r="C496" t="str">
            <v>KÑp r¨ng KR-240/185</v>
          </cell>
          <cell r="D496" t="str">
            <v>C¸i</v>
          </cell>
          <cell r="E496">
            <v>1</v>
          </cell>
          <cell r="F496">
            <v>0.4</v>
          </cell>
          <cell r="G496">
            <v>31500</v>
          </cell>
        </row>
        <row r="497">
          <cell r="B497" t="str">
            <v>KR-240/150</v>
          </cell>
          <cell r="C497" t="str">
            <v>KÑp r¨ng KR-240/150</v>
          </cell>
          <cell r="D497" t="str">
            <v>C¸i</v>
          </cell>
          <cell r="E497">
            <v>1</v>
          </cell>
          <cell r="F497">
            <v>0.4</v>
          </cell>
          <cell r="G497">
            <v>31500</v>
          </cell>
        </row>
        <row r="498">
          <cell r="B498" t="str">
            <v>KR-240/120</v>
          </cell>
          <cell r="C498" t="str">
            <v>KÑp r¨ng KR-240/120</v>
          </cell>
          <cell r="D498" t="str">
            <v>C¸i</v>
          </cell>
          <cell r="E498">
            <v>1</v>
          </cell>
          <cell r="F498">
            <v>0.4</v>
          </cell>
          <cell r="G498">
            <v>31500</v>
          </cell>
        </row>
        <row r="499">
          <cell r="B499" t="str">
            <v>KR-240/95</v>
          </cell>
          <cell r="C499" t="str">
            <v>KÑp r¨ng KR-240/95</v>
          </cell>
          <cell r="D499" t="str">
            <v>C¸i</v>
          </cell>
          <cell r="E499">
            <v>1</v>
          </cell>
          <cell r="F499">
            <v>0.4</v>
          </cell>
          <cell r="G499">
            <v>31500</v>
          </cell>
        </row>
        <row r="500">
          <cell r="B500" t="str">
            <v>KR-240/70</v>
          </cell>
          <cell r="C500" t="str">
            <v>KÑp r¨ng KR-240/70</v>
          </cell>
          <cell r="D500" t="str">
            <v>C¸i</v>
          </cell>
          <cell r="E500">
            <v>1</v>
          </cell>
          <cell r="F500">
            <v>0.4</v>
          </cell>
          <cell r="G500">
            <v>31500</v>
          </cell>
        </row>
        <row r="501">
          <cell r="B501" t="str">
            <v>KR-240/50</v>
          </cell>
          <cell r="C501" t="str">
            <v>KÑp r¨ng KR-240/50</v>
          </cell>
          <cell r="D501" t="str">
            <v>C¸i</v>
          </cell>
          <cell r="E501">
            <v>1</v>
          </cell>
          <cell r="F501">
            <v>0.4</v>
          </cell>
          <cell r="G501">
            <v>31500</v>
          </cell>
        </row>
        <row r="502">
          <cell r="B502" t="str">
            <v>KR-185</v>
          </cell>
          <cell r="C502" t="str">
            <v>KÑp r¨ng KR-185</v>
          </cell>
          <cell r="D502" t="str">
            <v>C¸i</v>
          </cell>
          <cell r="E502">
            <v>1</v>
          </cell>
          <cell r="F502">
            <v>0.4</v>
          </cell>
          <cell r="G502">
            <v>28000</v>
          </cell>
        </row>
        <row r="503">
          <cell r="B503" t="str">
            <v>KR-185/150</v>
          </cell>
          <cell r="C503" t="str">
            <v>KÑp r¨ng KR-185/150</v>
          </cell>
          <cell r="D503" t="str">
            <v>C¸i</v>
          </cell>
          <cell r="E503">
            <v>1</v>
          </cell>
          <cell r="F503">
            <v>0.4</v>
          </cell>
          <cell r="G503">
            <v>28000</v>
          </cell>
        </row>
        <row r="504">
          <cell r="B504" t="str">
            <v>KR-185/120</v>
          </cell>
          <cell r="C504" t="str">
            <v>KÑp r¨ng KR-185/120</v>
          </cell>
          <cell r="D504" t="str">
            <v>C¸i</v>
          </cell>
          <cell r="E504">
            <v>1</v>
          </cell>
          <cell r="F504">
            <v>0.4</v>
          </cell>
          <cell r="G504">
            <v>28000</v>
          </cell>
        </row>
        <row r="505">
          <cell r="B505" t="str">
            <v>KR-185/95</v>
          </cell>
          <cell r="C505" t="str">
            <v>KÑp r¨ng KR-185/95</v>
          </cell>
          <cell r="D505" t="str">
            <v>C¸i</v>
          </cell>
          <cell r="E505">
            <v>1</v>
          </cell>
          <cell r="F505">
            <v>0.4</v>
          </cell>
          <cell r="G505">
            <v>28000</v>
          </cell>
        </row>
        <row r="506">
          <cell r="B506" t="str">
            <v>KR-185/70</v>
          </cell>
          <cell r="C506" t="str">
            <v>KÑp r¨ng KR-185/70</v>
          </cell>
          <cell r="D506" t="str">
            <v>C¸i</v>
          </cell>
          <cell r="E506">
            <v>1</v>
          </cell>
          <cell r="F506">
            <v>0.4</v>
          </cell>
          <cell r="G506">
            <v>28000</v>
          </cell>
        </row>
        <row r="507">
          <cell r="B507" t="str">
            <v>KR-185/50</v>
          </cell>
          <cell r="C507" t="str">
            <v>KÑp r¨ng KR-185/50</v>
          </cell>
          <cell r="D507" t="str">
            <v>C¸i</v>
          </cell>
          <cell r="E507">
            <v>1</v>
          </cell>
          <cell r="F507">
            <v>0.4</v>
          </cell>
          <cell r="G507">
            <v>28000</v>
          </cell>
        </row>
        <row r="508">
          <cell r="B508" t="str">
            <v>KR-150</v>
          </cell>
          <cell r="C508" t="str">
            <v>KÑp r¨ng KR-150</v>
          </cell>
          <cell r="D508" t="str">
            <v>C¸i</v>
          </cell>
          <cell r="E508">
            <v>1</v>
          </cell>
          <cell r="F508">
            <v>0.4</v>
          </cell>
          <cell r="G508">
            <v>25000</v>
          </cell>
        </row>
        <row r="509">
          <cell r="B509" t="str">
            <v>KR-150/120</v>
          </cell>
          <cell r="C509" t="str">
            <v>KÑp r¨ng KR-150/120</v>
          </cell>
          <cell r="D509" t="str">
            <v>C¸i</v>
          </cell>
          <cell r="E509">
            <v>1</v>
          </cell>
          <cell r="F509">
            <v>0.4</v>
          </cell>
          <cell r="G509">
            <v>25000</v>
          </cell>
        </row>
        <row r="510">
          <cell r="B510" t="str">
            <v>KR-150/95</v>
          </cell>
          <cell r="C510" t="str">
            <v>KÑp r¨ng KR-150/95</v>
          </cell>
          <cell r="D510" t="str">
            <v>C¸i</v>
          </cell>
          <cell r="E510">
            <v>1</v>
          </cell>
          <cell r="F510">
            <v>0.4</v>
          </cell>
          <cell r="G510">
            <v>25000</v>
          </cell>
        </row>
        <row r="511">
          <cell r="B511" t="str">
            <v>KR-150/70</v>
          </cell>
          <cell r="C511" t="str">
            <v>KÑp r¨ng KR-150/70</v>
          </cell>
          <cell r="D511" t="str">
            <v>C¸i</v>
          </cell>
          <cell r="E511">
            <v>1</v>
          </cell>
          <cell r="F511">
            <v>0.4</v>
          </cell>
          <cell r="G511">
            <v>25000</v>
          </cell>
        </row>
        <row r="512">
          <cell r="B512" t="str">
            <v>KR-150/50</v>
          </cell>
          <cell r="C512" t="str">
            <v>KÑp r¨ng KR-150/50</v>
          </cell>
          <cell r="D512" t="str">
            <v>C¸i</v>
          </cell>
          <cell r="E512">
            <v>1</v>
          </cell>
          <cell r="F512">
            <v>0.4</v>
          </cell>
          <cell r="G512">
            <v>25000</v>
          </cell>
        </row>
        <row r="513">
          <cell r="B513" t="str">
            <v>KR-120</v>
          </cell>
          <cell r="C513" t="str">
            <v>KÑp r¨ng KR-120</v>
          </cell>
          <cell r="D513" t="str">
            <v>C¸i</v>
          </cell>
          <cell r="E513">
            <v>1</v>
          </cell>
          <cell r="F513">
            <v>0.4</v>
          </cell>
          <cell r="G513">
            <v>22000</v>
          </cell>
        </row>
        <row r="514">
          <cell r="B514" t="str">
            <v>KR-120/95</v>
          </cell>
          <cell r="C514" t="str">
            <v>KÑp r¨ng KR-120/95</v>
          </cell>
          <cell r="D514" t="str">
            <v>C¸i</v>
          </cell>
          <cell r="E514">
            <v>1</v>
          </cell>
          <cell r="F514">
            <v>0.4</v>
          </cell>
          <cell r="G514">
            <v>22000</v>
          </cell>
        </row>
        <row r="515">
          <cell r="B515" t="str">
            <v>KR-120/70</v>
          </cell>
          <cell r="C515" t="str">
            <v>KÑp r¨ng KR-120/70</v>
          </cell>
          <cell r="D515" t="str">
            <v>C¸i</v>
          </cell>
          <cell r="E515">
            <v>1</v>
          </cell>
          <cell r="F515">
            <v>0.4</v>
          </cell>
          <cell r="G515">
            <v>22000</v>
          </cell>
        </row>
        <row r="516">
          <cell r="B516" t="str">
            <v>KR-120/50</v>
          </cell>
          <cell r="C516" t="str">
            <v>KÑp r¨ng KR-120/50</v>
          </cell>
          <cell r="D516" t="str">
            <v>C¸i</v>
          </cell>
          <cell r="E516">
            <v>1</v>
          </cell>
          <cell r="F516">
            <v>0.4</v>
          </cell>
          <cell r="G516">
            <v>22000</v>
          </cell>
        </row>
        <row r="517">
          <cell r="B517" t="str">
            <v>KR-95</v>
          </cell>
          <cell r="C517" t="str">
            <v>KÑp r¨ng KR-95</v>
          </cell>
          <cell r="D517" t="str">
            <v>C¸i</v>
          </cell>
          <cell r="E517">
            <v>1</v>
          </cell>
          <cell r="F517">
            <v>0.4</v>
          </cell>
          <cell r="G517">
            <v>15000</v>
          </cell>
        </row>
        <row r="518">
          <cell r="B518" t="str">
            <v>KR-95/70</v>
          </cell>
          <cell r="C518" t="str">
            <v>KÑp r¨ng KR-95/70</v>
          </cell>
          <cell r="D518" t="str">
            <v>C¸i</v>
          </cell>
          <cell r="E518">
            <v>1</v>
          </cell>
          <cell r="F518">
            <v>0.4</v>
          </cell>
          <cell r="G518">
            <v>15000</v>
          </cell>
        </row>
        <row r="519">
          <cell r="B519" t="str">
            <v>KR-95/50</v>
          </cell>
          <cell r="C519" t="str">
            <v>KÑp r¨ng KR-95/50</v>
          </cell>
          <cell r="D519" t="str">
            <v>C¸i</v>
          </cell>
          <cell r="E519">
            <v>1</v>
          </cell>
          <cell r="F519">
            <v>0.4</v>
          </cell>
          <cell r="G519">
            <v>15000</v>
          </cell>
        </row>
        <row r="520">
          <cell r="B520" t="str">
            <v>KR-95/35</v>
          </cell>
          <cell r="C520" t="str">
            <v>KÑp r¨ng KR-95/35</v>
          </cell>
          <cell r="D520" t="str">
            <v>C¸i</v>
          </cell>
          <cell r="E520">
            <v>1</v>
          </cell>
          <cell r="F520">
            <v>0.4</v>
          </cell>
          <cell r="G520">
            <v>15000</v>
          </cell>
        </row>
        <row r="521">
          <cell r="B521" t="str">
            <v>KR-70</v>
          </cell>
          <cell r="C521" t="str">
            <v>KÑp r¨ng KR-70</v>
          </cell>
          <cell r="D521" t="str">
            <v>C¸i</v>
          </cell>
          <cell r="E521">
            <v>1</v>
          </cell>
          <cell r="F521">
            <v>0.4</v>
          </cell>
          <cell r="G521">
            <v>12000</v>
          </cell>
        </row>
        <row r="522">
          <cell r="B522" t="str">
            <v>KR-70/50</v>
          </cell>
          <cell r="C522" t="str">
            <v>KÑp r¨ng KR-70/50</v>
          </cell>
          <cell r="D522" t="str">
            <v>C¸i</v>
          </cell>
          <cell r="E522">
            <v>1</v>
          </cell>
          <cell r="F522">
            <v>0.4</v>
          </cell>
          <cell r="G522">
            <v>12000</v>
          </cell>
        </row>
        <row r="523">
          <cell r="B523" t="str">
            <v>KR-50</v>
          </cell>
          <cell r="C523" t="str">
            <v>KÑp r¨ng KR-50</v>
          </cell>
          <cell r="D523" t="str">
            <v>C¸i</v>
          </cell>
          <cell r="E523">
            <v>1</v>
          </cell>
          <cell r="F523">
            <v>0.4</v>
          </cell>
          <cell r="G523">
            <v>9000</v>
          </cell>
        </row>
        <row r="524">
          <cell r="B524" t="str">
            <v>KRM-A-185/240</v>
          </cell>
          <cell r="C524" t="str">
            <v>KÑp r¨ng ®ång - nh«m</v>
          </cell>
          <cell r="D524" t="str">
            <v>C¸i</v>
          </cell>
          <cell r="E524">
            <v>1</v>
          </cell>
          <cell r="F524">
            <v>0.4</v>
          </cell>
          <cell r="G524">
            <v>41500</v>
          </cell>
        </row>
        <row r="525">
          <cell r="B525" t="str">
            <v>KRM-A-240</v>
          </cell>
          <cell r="C525" t="str">
            <v>KÑp r¨ng ®ång nh«m KRM-A-240</v>
          </cell>
          <cell r="D525" t="str">
            <v>C¸i</v>
          </cell>
          <cell r="E525">
            <v>1</v>
          </cell>
          <cell r="F525">
            <v>0.4</v>
          </cell>
          <cell r="G525">
            <v>30500</v>
          </cell>
        </row>
        <row r="526">
          <cell r="B526" t="str">
            <v>KRM-A-185/240</v>
          </cell>
          <cell r="C526" t="str">
            <v>KÑp r¨ng ®ång nh«m KRM-A-185/240</v>
          </cell>
          <cell r="D526" t="str">
            <v>C¸i</v>
          </cell>
          <cell r="E526">
            <v>1</v>
          </cell>
          <cell r="F526">
            <v>0.4</v>
          </cell>
          <cell r="G526">
            <v>30500</v>
          </cell>
        </row>
        <row r="527">
          <cell r="B527" t="str">
            <v>KRM-A-150/240</v>
          </cell>
          <cell r="C527" t="str">
            <v>KÑp r¨ng ®ång nh«m KRM-A-150/240</v>
          </cell>
          <cell r="D527" t="str">
            <v>C¸i</v>
          </cell>
          <cell r="E527">
            <v>1</v>
          </cell>
          <cell r="F527">
            <v>0.4</v>
          </cell>
          <cell r="G527">
            <v>30500</v>
          </cell>
        </row>
        <row r="528">
          <cell r="B528" t="str">
            <v>KRM-A-120/240</v>
          </cell>
          <cell r="C528" t="str">
            <v>KÑp r¨ng ®ång nh«m KRM-A-120/240</v>
          </cell>
          <cell r="D528" t="str">
            <v>C¸i</v>
          </cell>
          <cell r="E528">
            <v>1</v>
          </cell>
          <cell r="F528">
            <v>0.4</v>
          </cell>
          <cell r="G528">
            <v>30500</v>
          </cell>
        </row>
        <row r="529">
          <cell r="B529" t="str">
            <v>KRM-A-95/240</v>
          </cell>
          <cell r="C529" t="str">
            <v>KÑp r¨ng ®ång nh«m KRM-A-95/240</v>
          </cell>
          <cell r="D529" t="str">
            <v>C¸i</v>
          </cell>
          <cell r="E529">
            <v>1</v>
          </cell>
          <cell r="F529">
            <v>0.4</v>
          </cell>
          <cell r="G529">
            <v>30500</v>
          </cell>
        </row>
        <row r="530">
          <cell r="B530" t="str">
            <v>KRM-A-70/240</v>
          </cell>
          <cell r="C530" t="str">
            <v>KÑp r¨ng ®ång nh«m KRM-A-70/240</v>
          </cell>
          <cell r="D530" t="str">
            <v>C¸i</v>
          </cell>
          <cell r="E530">
            <v>1</v>
          </cell>
          <cell r="F530">
            <v>0.4</v>
          </cell>
          <cell r="G530">
            <v>30500</v>
          </cell>
        </row>
        <row r="531">
          <cell r="B531" t="str">
            <v>KRM-A-50/240</v>
          </cell>
          <cell r="C531" t="str">
            <v>KÑp r¨ng ®ång nh«m KRM-A-50/240</v>
          </cell>
          <cell r="D531" t="str">
            <v>C¸i</v>
          </cell>
          <cell r="E531">
            <v>1</v>
          </cell>
          <cell r="F531">
            <v>0.4</v>
          </cell>
          <cell r="G531">
            <v>30500</v>
          </cell>
        </row>
        <row r="532">
          <cell r="B532" t="str">
            <v>KRM-A-185</v>
          </cell>
          <cell r="C532" t="str">
            <v>KÑp r¨ng ®ång nh«m KRM-A-185</v>
          </cell>
          <cell r="D532" t="str">
            <v>C¸i</v>
          </cell>
          <cell r="E532">
            <v>1</v>
          </cell>
          <cell r="F532">
            <v>0.4</v>
          </cell>
          <cell r="G532">
            <v>30500</v>
          </cell>
        </row>
        <row r="533">
          <cell r="B533" t="str">
            <v>KRM-A-150/185</v>
          </cell>
          <cell r="C533" t="str">
            <v>KÑp r¨ng ®ång nh«m KRM-A-150/185</v>
          </cell>
          <cell r="D533" t="str">
            <v>C¸i</v>
          </cell>
          <cell r="E533">
            <v>1</v>
          </cell>
          <cell r="F533">
            <v>0.4</v>
          </cell>
          <cell r="G533">
            <v>30500</v>
          </cell>
        </row>
        <row r="534">
          <cell r="B534" t="str">
            <v>KRM-A-120/185</v>
          </cell>
          <cell r="C534" t="str">
            <v>KÑp r¨ng ®ång nh«m KRM-A-120/185</v>
          </cell>
          <cell r="D534" t="str">
            <v>C¸i</v>
          </cell>
          <cell r="E534">
            <v>1</v>
          </cell>
          <cell r="F534">
            <v>0.4</v>
          </cell>
          <cell r="G534">
            <v>30500</v>
          </cell>
        </row>
        <row r="535">
          <cell r="B535" t="str">
            <v>KRM-A-95/185</v>
          </cell>
          <cell r="C535" t="str">
            <v>KÑp r¨ng ®ång nh«m KRM-A-95/185</v>
          </cell>
          <cell r="D535" t="str">
            <v>C¸i</v>
          </cell>
          <cell r="E535">
            <v>1</v>
          </cell>
          <cell r="F535">
            <v>0.4</v>
          </cell>
          <cell r="G535">
            <v>30500</v>
          </cell>
        </row>
        <row r="536">
          <cell r="B536" t="str">
            <v>KRM-A-70/185</v>
          </cell>
          <cell r="C536" t="str">
            <v>KÑp r¨ng ®ång nh«m KRM-A-70/185</v>
          </cell>
          <cell r="D536" t="str">
            <v>C¸i</v>
          </cell>
          <cell r="E536">
            <v>1</v>
          </cell>
          <cell r="F536">
            <v>0.4</v>
          </cell>
          <cell r="G536">
            <v>30500</v>
          </cell>
        </row>
        <row r="537">
          <cell r="B537" t="str">
            <v>KRM-A-50/185</v>
          </cell>
          <cell r="C537" t="str">
            <v>KÑp r¨ng ®ång nh«m KRM-A-50/185</v>
          </cell>
          <cell r="D537" t="str">
            <v>C¸i</v>
          </cell>
          <cell r="E537">
            <v>1</v>
          </cell>
          <cell r="F537">
            <v>0.4</v>
          </cell>
          <cell r="G537">
            <v>30500</v>
          </cell>
        </row>
        <row r="538">
          <cell r="B538" t="str">
            <v>KRM-A-150</v>
          </cell>
          <cell r="C538" t="str">
            <v>KÑp r¨ng ®ång nh«m KRM-A-150</v>
          </cell>
          <cell r="D538" t="str">
            <v>C¸i</v>
          </cell>
          <cell r="E538">
            <v>1</v>
          </cell>
          <cell r="F538">
            <v>0.4</v>
          </cell>
          <cell r="G538">
            <v>30500</v>
          </cell>
        </row>
        <row r="539">
          <cell r="B539" t="str">
            <v>KRM-A-120/150</v>
          </cell>
          <cell r="C539" t="str">
            <v>KÑp r¨ng ®ång nh«m KRM-A-120/150</v>
          </cell>
          <cell r="D539" t="str">
            <v>C¸i</v>
          </cell>
          <cell r="E539">
            <v>1</v>
          </cell>
          <cell r="F539">
            <v>0.4</v>
          </cell>
          <cell r="G539">
            <v>30500</v>
          </cell>
        </row>
        <row r="540">
          <cell r="B540" t="str">
            <v>KRM-A-95/150</v>
          </cell>
          <cell r="C540" t="str">
            <v>KÑp r¨ng ®ång nh«m KRM-A-95/150</v>
          </cell>
          <cell r="D540" t="str">
            <v>C¸i</v>
          </cell>
          <cell r="E540">
            <v>1</v>
          </cell>
          <cell r="F540">
            <v>0.4</v>
          </cell>
          <cell r="G540">
            <v>30500</v>
          </cell>
        </row>
        <row r="541">
          <cell r="B541" t="str">
            <v>KRM-A-70/150</v>
          </cell>
          <cell r="C541" t="str">
            <v>KÑp r¨ng ®ång nh«m KRM-A-70/150</v>
          </cell>
          <cell r="D541" t="str">
            <v>C¸i</v>
          </cell>
          <cell r="E541">
            <v>1</v>
          </cell>
          <cell r="F541">
            <v>0.4</v>
          </cell>
          <cell r="G541">
            <v>30500</v>
          </cell>
        </row>
        <row r="542">
          <cell r="B542" t="str">
            <v>KRM-A-50/150</v>
          </cell>
          <cell r="C542" t="str">
            <v>KÑp r¨ng ®ång nh«m KRM-A-50/150</v>
          </cell>
          <cell r="D542" t="str">
            <v>C¸i</v>
          </cell>
          <cell r="E542">
            <v>1</v>
          </cell>
          <cell r="F542">
            <v>0.4</v>
          </cell>
          <cell r="G542">
            <v>30500</v>
          </cell>
        </row>
        <row r="543">
          <cell r="B543" t="str">
            <v>KRM-A-120</v>
          </cell>
          <cell r="C543" t="str">
            <v>KÑp r¨ng ®ång nh«m KRM-A-120</v>
          </cell>
          <cell r="D543" t="str">
            <v>C¸i</v>
          </cell>
          <cell r="E543">
            <v>1</v>
          </cell>
          <cell r="F543">
            <v>0.4</v>
          </cell>
          <cell r="G543">
            <v>30500</v>
          </cell>
        </row>
        <row r="544">
          <cell r="B544" t="str">
            <v>KRM-A-95/120</v>
          </cell>
          <cell r="C544" t="str">
            <v>KÑp r¨ng ®ång nh«m KRM-A-120/95</v>
          </cell>
          <cell r="D544" t="str">
            <v>C¸i</v>
          </cell>
          <cell r="E544">
            <v>1</v>
          </cell>
          <cell r="F544">
            <v>0.4</v>
          </cell>
          <cell r="G544">
            <v>30500</v>
          </cell>
        </row>
        <row r="545">
          <cell r="B545" t="str">
            <v>KRM-A-70/120</v>
          </cell>
          <cell r="C545" t="str">
            <v>KÑp r¨ng ®ång nh«m KRM-A-120/70</v>
          </cell>
          <cell r="D545" t="str">
            <v>C¸i</v>
          </cell>
          <cell r="E545">
            <v>1</v>
          </cell>
          <cell r="F545">
            <v>0.4</v>
          </cell>
          <cell r="G545">
            <v>30500</v>
          </cell>
        </row>
        <row r="546">
          <cell r="B546" t="str">
            <v>KRM-A-50/120</v>
          </cell>
          <cell r="C546" t="str">
            <v>KÑp r¨ng ®ång nh«m KRM-A-120/50</v>
          </cell>
          <cell r="D546" t="str">
            <v>C¸i</v>
          </cell>
          <cell r="E546">
            <v>1</v>
          </cell>
          <cell r="F546">
            <v>0.4</v>
          </cell>
          <cell r="G546">
            <v>30500</v>
          </cell>
        </row>
        <row r="547">
          <cell r="B547" t="str">
            <v>KRM-A-95</v>
          </cell>
          <cell r="C547" t="str">
            <v>KÑp r¨ng ®ång nh«m KRM-A-95</v>
          </cell>
          <cell r="D547" t="str">
            <v>C¸i</v>
          </cell>
          <cell r="E547">
            <v>1</v>
          </cell>
          <cell r="F547">
            <v>0.4</v>
          </cell>
          <cell r="G547">
            <v>30500</v>
          </cell>
        </row>
        <row r="548">
          <cell r="B548" t="str">
            <v>KRM-A-70/95</v>
          </cell>
          <cell r="C548" t="str">
            <v>KÑp r¨ng ®ång nh«m KRM-A-70/95</v>
          </cell>
          <cell r="D548" t="str">
            <v>C¸i</v>
          </cell>
          <cell r="E548">
            <v>1</v>
          </cell>
          <cell r="F548">
            <v>0.4</v>
          </cell>
          <cell r="G548">
            <v>30500</v>
          </cell>
        </row>
        <row r="549">
          <cell r="B549" t="str">
            <v>KRM-A-50/95</v>
          </cell>
          <cell r="C549" t="str">
            <v>KÑp r¨ng ®ång nh«m KRM-A-50/95</v>
          </cell>
          <cell r="D549" t="str">
            <v>C¸i</v>
          </cell>
          <cell r="E549">
            <v>1</v>
          </cell>
          <cell r="F549">
            <v>0.4</v>
          </cell>
          <cell r="G549">
            <v>30500</v>
          </cell>
        </row>
        <row r="550">
          <cell r="B550" t="str">
            <v>KRM-A-70</v>
          </cell>
          <cell r="C550" t="str">
            <v>KÑp r¨ng ®ång nh«m KRM-A-70</v>
          </cell>
          <cell r="D550" t="str">
            <v>C¸i</v>
          </cell>
          <cell r="E550">
            <v>1</v>
          </cell>
          <cell r="F550">
            <v>0.4</v>
          </cell>
          <cell r="G550">
            <v>30500</v>
          </cell>
        </row>
        <row r="551">
          <cell r="B551" t="str">
            <v>KRM-A-50/70</v>
          </cell>
          <cell r="C551" t="str">
            <v>KÑp r¨ng ®ång nh«m KRM-A-70/50</v>
          </cell>
          <cell r="D551" t="str">
            <v>C¸i</v>
          </cell>
          <cell r="E551">
            <v>1</v>
          </cell>
          <cell r="F551">
            <v>0.4</v>
          </cell>
          <cell r="G551">
            <v>30500</v>
          </cell>
        </row>
        <row r="552">
          <cell r="B552" t="str">
            <v>KRM-A-50</v>
          </cell>
          <cell r="C552" t="str">
            <v>KÑp r¨ng ®ång nh«m KRM-A-50</v>
          </cell>
          <cell r="D552" t="str">
            <v>C¸i</v>
          </cell>
          <cell r="E552">
            <v>1</v>
          </cell>
          <cell r="F552">
            <v>0.4</v>
          </cell>
          <cell r="G552">
            <v>30500</v>
          </cell>
        </row>
        <row r="553">
          <cell r="B553" t="str">
            <v>KRM-A-240/185</v>
          </cell>
          <cell r="C553" t="str">
            <v>KÑp r¨ng ®ång nh«m KRM-A-240/185</v>
          </cell>
          <cell r="D553" t="str">
            <v>C¸i</v>
          </cell>
          <cell r="E553">
            <v>1</v>
          </cell>
          <cell r="F553">
            <v>0.4</v>
          </cell>
          <cell r="G553">
            <v>30500</v>
          </cell>
        </row>
        <row r="554">
          <cell r="B554" t="str">
            <v>KRM-A-240/150</v>
          </cell>
          <cell r="C554" t="str">
            <v>KÑp r¨ng ®ång nh«m KRM-A-240/150</v>
          </cell>
          <cell r="D554" t="str">
            <v>C¸i</v>
          </cell>
          <cell r="E554">
            <v>1</v>
          </cell>
          <cell r="F554">
            <v>0.4</v>
          </cell>
          <cell r="G554">
            <v>30500</v>
          </cell>
        </row>
        <row r="555">
          <cell r="B555" t="str">
            <v>KRM-A-240/120</v>
          </cell>
          <cell r="C555" t="str">
            <v>KÑp r¨ng ®ång nh«m KRM-A-240/120</v>
          </cell>
          <cell r="D555" t="str">
            <v>C¸i</v>
          </cell>
          <cell r="E555">
            <v>1</v>
          </cell>
          <cell r="F555">
            <v>0.4</v>
          </cell>
          <cell r="G555">
            <v>30500</v>
          </cell>
        </row>
        <row r="556">
          <cell r="B556" t="str">
            <v>KRM-A-240/95</v>
          </cell>
          <cell r="C556" t="str">
            <v>KÑp r¨ng ®ång nh«m KRM-A-240/95</v>
          </cell>
          <cell r="D556" t="str">
            <v>C¸i</v>
          </cell>
          <cell r="E556">
            <v>1</v>
          </cell>
          <cell r="F556">
            <v>0.4</v>
          </cell>
          <cell r="G556">
            <v>30500</v>
          </cell>
        </row>
        <row r="557">
          <cell r="B557" t="str">
            <v>KRM-A-240/70</v>
          </cell>
          <cell r="C557" t="str">
            <v>KÑp r¨ng ®ång nh«m KRM-A-240/70</v>
          </cell>
          <cell r="D557" t="str">
            <v>C¸i</v>
          </cell>
          <cell r="E557">
            <v>1</v>
          </cell>
          <cell r="F557">
            <v>0.4</v>
          </cell>
          <cell r="G557">
            <v>30500</v>
          </cell>
        </row>
        <row r="558">
          <cell r="B558" t="str">
            <v>KRM-A-240/50</v>
          </cell>
          <cell r="C558" t="str">
            <v>KÑp r¨ng ®ång nh«m KRM-A-240/50</v>
          </cell>
          <cell r="D558" t="str">
            <v>C¸i</v>
          </cell>
          <cell r="E558">
            <v>1</v>
          </cell>
          <cell r="F558">
            <v>0.4</v>
          </cell>
          <cell r="G558">
            <v>30500</v>
          </cell>
        </row>
        <row r="559">
          <cell r="B559" t="str">
            <v>KRM-A-185/150</v>
          </cell>
          <cell r="C559" t="str">
            <v>KÑp r¨ng ®ång nh«m KRM-A-185/150</v>
          </cell>
          <cell r="D559" t="str">
            <v>C¸i</v>
          </cell>
          <cell r="E559">
            <v>1</v>
          </cell>
          <cell r="F559">
            <v>0.4</v>
          </cell>
          <cell r="G559">
            <v>30500</v>
          </cell>
        </row>
        <row r="560">
          <cell r="B560" t="str">
            <v>KRM-A-185/120</v>
          </cell>
          <cell r="C560" t="str">
            <v>KÑp r¨ng ®ång nh«m KRM-A-185/120</v>
          </cell>
          <cell r="D560" t="str">
            <v>C¸i</v>
          </cell>
          <cell r="E560">
            <v>1</v>
          </cell>
          <cell r="F560">
            <v>0.4</v>
          </cell>
          <cell r="G560">
            <v>30500</v>
          </cell>
        </row>
        <row r="561">
          <cell r="B561" t="str">
            <v>KRM-A-185/95</v>
          </cell>
          <cell r="C561" t="str">
            <v>KÑp r¨ng ®ång nh«m KRM-A-185/95</v>
          </cell>
          <cell r="D561" t="str">
            <v>C¸i</v>
          </cell>
          <cell r="E561">
            <v>1</v>
          </cell>
          <cell r="F561">
            <v>0.4</v>
          </cell>
          <cell r="G561">
            <v>30500</v>
          </cell>
        </row>
        <row r="562">
          <cell r="B562" t="str">
            <v>KRM-A-185/70</v>
          </cell>
          <cell r="C562" t="str">
            <v>KÑp r¨ng ®ång nh«m KRM-A-185/70</v>
          </cell>
          <cell r="D562" t="str">
            <v>C¸i</v>
          </cell>
          <cell r="E562">
            <v>1</v>
          </cell>
          <cell r="F562">
            <v>0.4</v>
          </cell>
          <cell r="G562">
            <v>30500</v>
          </cell>
        </row>
        <row r="563">
          <cell r="B563" t="str">
            <v>KRM-A-185/50</v>
          </cell>
          <cell r="C563" t="str">
            <v>KÑp r¨ng ®ång nh«m KRM-A-185/50</v>
          </cell>
          <cell r="D563" t="str">
            <v>C¸i</v>
          </cell>
          <cell r="E563">
            <v>1</v>
          </cell>
          <cell r="F563">
            <v>0.4</v>
          </cell>
          <cell r="G563">
            <v>30500</v>
          </cell>
        </row>
        <row r="564">
          <cell r="B564" t="str">
            <v>KRM-A-150/120</v>
          </cell>
          <cell r="C564" t="str">
            <v>KÑp r¨ng ®ång nh«m KRM-A-150/120</v>
          </cell>
          <cell r="D564" t="str">
            <v>C¸i</v>
          </cell>
          <cell r="E564">
            <v>1</v>
          </cell>
          <cell r="F564">
            <v>0.4</v>
          </cell>
          <cell r="G564">
            <v>30500</v>
          </cell>
        </row>
        <row r="565">
          <cell r="B565" t="str">
            <v>KRM-A-150/95</v>
          </cell>
          <cell r="C565" t="str">
            <v>KÑp r¨ng ®ång nh«m KRM-A-150/95</v>
          </cell>
          <cell r="D565" t="str">
            <v>C¸i</v>
          </cell>
          <cell r="E565">
            <v>1</v>
          </cell>
          <cell r="F565">
            <v>0.4</v>
          </cell>
          <cell r="G565">
            <v>30500</v>
          </cell>
        </row>
        <row r="566">
          <cell r="B566" t="str">
            <v>KRM-A-150/70</v>
          </cell>
          <cell r="C566" t="str">
            <v>KÑp r¨ng ®ång nh«m KRM-A-150/70</v>
          </cell>
          <cell r="D566" t="str">
            <v>C¸i</v>
          </cell>
          <cell r="E566">
            <v>1</v>
          </cell>
          <cell r="F566">
            <v>0.4</v>
          </cell>
          <cell r="G566">
            <v>30500</v>
          </cell>
        </row>
        <row r="567">
          <cell r="B567" t="str">
            <v>KRM-A-150/50</v>
          </cell>
          <cell r="C567" t="str">
            <v>KÑp r¨ng ®ång nh«m KRM-A-150/50</v>
          </cell>
          <cell r="D567" t="str">
            <v>C¸i</v>
          </cell>
          <cell r="E567">
            <v>1</v>
          </cell>
          <cell r="F567">
            <v>0.4</v>
          </cell>
          <cell r="G567">
            <v>30500</v>
          </cell>
        </row>
        <row r="568">
          <cell r="B568" t="str">
            <v>KRM-A-120/95</v>
          </cell>
          <cell r="C568" t="str">
            <v>KÑp r¨ng ®ång nh«m KRM-A-120/95</v>
          </cell>
          <cell r="D568" t="str">
            <v>C¸i</v>
          </cell>
          <cell r="E568">
            <v>1</v>
          </cell>
          <cell r="F568">
            <v>0.4</v>
          </cell>
          <cell r="G568">
            <v>30500</v>
          </cell>
        </row>
        <row r="569">
          <cell r="B569" t="str">
            <v>KRM-A-120/70</v>
          </cell>
          <cell r="C569" t="str">
            <v>KÑp r¨ng ®ång nh«m KRM-A-120/70</v>
          </cell>
          <cell r="D569" t="str">
            <v>C¸i</v>
          </cell>
          <cell r="E569">
            <v>1</v>
          </cell>
          <cell r="F569">
            <v>0.4</v>
          </cell>
          <cell r="G569">
            <v>30500</v>
          </cell>
        </row>
        <row r="570">
          <cell r="B570" t="str">
            <v>KRM-A-120/50</v>
          </cell>
          <cell r="C570" t="str">
            <v>KÑp r¨ng ®ång nh«m KRM-A-120/50</v>
          </cell>
          <cell r="D570" t="str">
            <v>C¸i</v>
          </cell>
          <cell r="E570">
            <v>1</v>
          </cell>
          <cell r="F570">
            <v>0.4</v>
          </cell>
          <cell r="G570">
            <v>30500</v>
          </cell>
        </row>
        <row r="571">
          <cell r="B571" t="str">
            <v>KRM-A-95/70</v>
          </cell>
          <cell r="C571" t="str">
            <v>KÑp r¨ng ®ång nh«m KRM-A-95/70</v>
          </cell>
          <cell r="D571" t="str">
            <v>C¸i</v>
          </cell>
          <cell r="E571">
            <v>1</v>
          </cell>
          <cell r="F571">
            <v>0.4</v>
          </cell>
          <cell r="G571">
            <v>30500</v>
          </cell>
        </row>
        <row r="572">
          <cell r="B572" t="str">
            <v>KRM-A-95/50</v>
          </cell>
          <cell r="C572" t="str">
            <v>KÑp r¨ng ®ång nh«m KRM-A-95/50</v>
          </cell>
          <cell r="D572" t="str">
            <v>C¸i</v>
          </cell>
          <cell r="E572">
            <v>1</v>
          </cell>
          <cell r="F572">
            <v>0.4</v>
          </cell>
          <cell r="G572">
            <v>30500</v>
          </cell>
        </row>
        <row r="573">
          <cell r="B573" t="str">
            <v>KRM-A-70</v>
          </cell>
          <cell r="C573" t="str">
            <v>KÑp r¨ng ®ång nh«m KRM-A-70</v>
          </cell>
          <cell r="D573" t="str">
            <v>C¸i</v>
          </cell>
          <cell r="E573">
            <v>1</v>
          </cell>
          <cell r="F573">
            <v>0.4</v>
          </cell>
          <cell r="G573">
            <v>30500</v>
          </cell>
        </row>
        <row r="574">
          <cell r="B574" t="str">
            <v>KRM-A-70/50</v>
          </cell>
          <cell r="C574" t="str">
            <v>KÑp r¨ng ®ång nh«m KRM-A-70/50</v>
          </cell>
          <cell r="D574" t="str">
            <v>C¸i</v>
          </cell>
          <cell r="E574">
            <v>1</v>
          </cell>
          <cell r="F574">
            <v>0.4</v>
          </cell>
          <cell r="G574">
            <v>30500</v>
          </cell>
        </row>
        <row r="575">
          <cell r="B575" t="str">
            <v>KRM-A-95/70</v>
          </cell>
          <cell r="C575" t="str">
            <v>Kho¸ ®ì d©y</v>
          </cell>
          <cell r="D575" t="str">
            <v>C¸i</v>
          </cell>
          <cell r="E575">
            <v>1</v>
          </cell>
          <cell r="F575">
            <v>0.4</v>
          </cell>
          <cell r="G575">
            <v>25500</v>
          </cell>
        </row>
        <row r="576">
          <cell r="B576" t="str">
            <v>K§T-240</v>
          </cell>
          <cell r="C576" t="str">
            <v>Kho¸ ®ì th¼ng d©y ABC-A(4x240)</v>
          </cell>
          <cell r="D576" t="str">
            <v>C¸i</v>
          </cell>
          <cell r="E576">
            <v>1</v>
          </cell>
          <cell r="F576">
            <v>0.67</v>
          </cell>
          <cell r="G576">
            <v>25000</v>
          </cell>
        </row>
        <row r="577">
          <cell r="B577" t="str">
            <v>K§T-185</v>
          </cell>
          <cell r="C577" t="str">
            <v>Kho¸ ®ì th¼ng d©y ABC-A(4x185)</v>
          </cell>
          <cell r="D577" t="str">
            <v>C¸i</v>
          </cell>
          <cell r="E577">
            <v>1</v>
          </cell>
          <cell r="F577">
            <v>0.67</v>
          </cell>
          <cell r="G577">
            <v>25000</v>
          </cell>
        </row>
        <row r="578">
          <cell r="B578" t="str">
            <v>K§T-150</v>
          </cell>
          <cell r="C578" t="str">
            <v>Kho¸ ®ì th¼ng d©y ABC-A(4x150)</v>
          </cell>
          <cell r="D578" t="str">
            <v>C¸i</v>
          </cell>
          <cell r="E578">
            <v>1</v>
          </cell>
          <cell r="F578">
            <v>0.67</v>
          </cell>
          <cell r="G578">
            <v>25000</v>
          </cell>
        </row>
        <row r="579">
          <cell r="B579" t="str">
            <v>K§T-120</v>
          </cell>
          <cell r="C579" t="str">
            <v>Kho¸ ®ì th¼ng d©y ABC-A(4x120)</v>
          </cell>
          <cell r="D579" t="str">
            <v>C¸i</v>
          </cell>
          <cell r="E579">
            <v>1</v>
          </cell>
          <cell r="F579">
            <v>0.67</v>
          </cell>
          <cell r="G579">
            <v>25000</v>
          </cell>
        </row>
        <row r="580">
          <cell r="B580" t="str">
            <v>K§T-95</v>
          </cell>
          <cell r="C580" t="str">
            <v>Kho¸ ®ì th¼ng d©y ABC-A(4x95)</v>
          </cell>
          <cell r="D580" t="str">
            <v>C¸i</v>
          </cell>
          <cell r="E580">
            <v>1</v>
          </cell>
          <cell r="F580">
            <v>0.67</v>
          </cell>
          <cell r="G580">
            <v>25000</v>
          </cell>
        </row>
        <row r="581">
          <cell r="B581" t="str">
            <v>K§T-70</v>
          </cell>
          <cell r="C581" t="str">
            <v>Kho¸ ®ì th¼ng d©y ABC-A(4x70)</v>
          </cell>
          <cell r="D581" t="str">
            <v>C¸i</v>
          </cell>
          <cell r="E581">
            <v>1</v>
          </cell>
          <cell r="F581">
            <v>0.67</v>
          </cell>
          <cell r="G581">
            <v>25000</v>
          </cell>
        </row>
        <row r="582">
          <cell r="B582" t="str">
            <v>K§T-50</v>
          </cell>
          <cell r="C582" t="str">
            <v>Kho¸ ®ì th¼ng d©y ABC-A(4x50)</v>
          </cell>
          <cell r="D582" t="str">
            <v>C¸i</v>
          </cell>
          <cell r="E582">
            <v>1</v>
          </cell>
          <cell r="F582">
            <v>0.67</v>
          </cell>
          <cell r="G582">
            <v>25000</v>
          </cell>
        </row>
        <row r="583">
          <cell r="B583" t="str">
            <v>KRM-185/240</v>
          </cell>
          <cell r="C583" t="str">
            <v>Kho¸ nÐo d©y</v>
          </cell>
          <cell r="D583" t="str">
            <v>C¸i</v>
          </cell>
          <cell r="E583">
            <v>1</v>
          </cell>
          <cell r="F583">
            <v>0.4</v>
          </cell>
          <cell r="G583">
            <v>41500</v>
          </cell>
        </row>
        <row r="584">
          <cell r="B584" t="str">
            <v>KN-240</v>
          </cell>
          <cell r="C584" t="str">
            <v>Kho¸ nÐo d©y ABC-A(4x240)</v>
          </cell>
          <cell r="D584" t="str">
            <v>C¸i</v>
          </cell>
          <cell r="E584">
            <v>1</v>
          </cell>
          <cell r="F584">
            <v>0.67</v>
          </cell>
          <cell r="G584">
            <v>25000</v>
          </cell>
        </row>
        <row r="585">
          <cell r="B585" t="str">
            <v>KN-185</v>
          </cell>
          <cell r="C585" t="str">
            <v>Kho¸ nÐo d©y ABC-A(4x185)</v>
          </cell>
          <cell r="D585" t="str">
            <v>C¸i</v>
          </cell>
          <cell r="E585">
            <v>1</v>
          </cell>
          <cell r="F585">
            <v>0.67</v>
          </cell>
          <cell r="G585">
            <v>25000</v>
          </cell>
        </row>
        <row r="586">
          <cell r="B586" t="str">
            <v>KN-150</v>
          </cell>
          <cell r="C586" t="str">
            <v>Kho¸ nÐo d©y ABC-A(4x150)</v>
          </cell>
          <cell r="D586" t="str">
            <v>C¸i</v>
          </cell>
          <cell r="E586">
            <v>1</v>
          </cell>
          <cell r="F586">
            <v>0.67</v>
          </cell>
          <cell r="G586">
            <v>25000</v>
          </cell>
        </row>
        <row r="587">
          <cell r="B587" t="str">
            <v>KN-120</v>
          </cell>
          <cell r="C587" t="str">
            <v>Kho¸ nÐo d©y ABC-A(4x120)</v>
          </cell>
          <cell r="D587" t="str">
            <v>C¸i</v>
          </cell>
          <cell r="E587">
            <v>1</v>
          </cell>
          <cell r="F587">
            <v>0.67</v>
          </cell>
          <cell r="G587">
            <v>25000</v>
          </cell>
        </row>
        <row r="588">
          <cell r="B588" t="str">
            <v>KN-95</v>
          </cell>
          <cell r="C588" t="str">
            <v>Kho¸ nÐo d©y ABC-A(4x95)</v>
          </cell>
          <cell r="D588" t="str">
            <v>C¸i</v>
          </cell>
          <cell r="E588">
            <v>1</v>
          </cell>
          <cell r="F588">
            <v>0.67</v>
          </cell>
          <cell r="G588">
            <v>25000</v>
          </cell>
        </row>
        <row r="589">
          <cell r="B589" t="str">
            <v>KN-70</v>
          </cell>
          <cell r="C589" t="str">
            <v>Kho¸ nÐo d©y ABC-A(4x70)</v>
          </cell>
          <cell r="D589" t="str">
            <v>C¸i</v>
          </cell>
          <cell r="E589">
            <v>1</v>
          </cell>
          <cell r="F589">
            <v>0.67</v>
          </cell>
          <cell r="G589">
            <v>25000</v>
          </cell>
        </row>
        <row r="590">
          <cell r="B590" t="str">
            <v>KN-50</v>
          </cell>
          <cell r="C590" t="str">
            <v>Kho¸ nÐo d©y ABC-A(4x50)</v>
          </cell>
          <cell r="D590" t="str">
            <v>C¸i</v>
          </cell>
          <cell r="E590">
            <v>1</v>
          </cell>
          <cell r="F590">
            <v>0.67</v>
          </cell>
          <cell r="G590">
            <v>25000</v>
          </cell>
        </row>
        <row r="591">
          <cell r="B591" t="str">
            <v>KRM-120/185</v>
          </cell>
          <cell r="C591" t="str">
            <v>BÞt ®Çu c¸p</v>
          </cell>
          <cell r="D591" t="str">
            <v>C¸i</v>
          </cell>
          <cell r="E591">
            <v>1</v>
          </cell>
          <cell r="F591">
            <v>0.4</v>
          </cell>
          <cell r="G591">
            <v>36700</v>
          </cell>
        </row>
        <row r="592">
          <cell r="B592" t="str">
            <v>B§C-240</v>
          </cell>
          <cell r="C592" t="str">
            <v>BÞt ®Çu c¸p B§C-240</v>
          </cell>
          <cell r="D592" t="str">
            <v>C¸i</v>
          </cell>
          <cell r="E592">
            <v>1</v>
          </cell>
          <cell r="F592">
            <v>0.25</v>
          </cell>
          <cell r="G592">
            <v>13500</v>
          </cell>
        </row>
        <row r="593">
          <cell r="B593" t="str">
            <v>B§C-185</v>
          </cell>
          <cell r="C593" t="str">
            <v>BÞt ®Çu c¸p B§C-185</v>
          </cell>
          <cell r="D593" t="str">
            <v>C¸i</v>
          </cell>
          <cell r="E593">
            <v>1</v>
          </cell>
          <cell r="F593">
            <v>0.25</v>
          </cell>
          <cell r="G593">
            <v>11500</v>
          </cell>
        </row>
        <row r="594">
          <cell r="B594" t="str">
            <v>B§C-150</v>
          </cell>
          <cell r="C594" t="str">
            <v>BÞt ®Çu c¸p B§C-150</v>
          </cell>
          <cell r="D594" t="str">
            <v>C¸i</v>
          </cell>
          <cell r="E594">
            <v>1</v>
          </cell>
          <cell r="F594">
            <v>0.25</v>
          </cell>
          <cell r="G594">
            <v>9500</v>
          </cell>
        </row>
        <row r="595">
          <cell r="B595" t="str">
            <v>B§C-120</v>
          </cell>
          <cell r="C595" t="str">
            <v>BÞt ®Çu c¸p B§C-120</v>
          </cell>
          <cell r="D595" t="str">
            <v>C¸i</v>
          </cell>
          <cell r="E595">
            <v>1</v>
          </cell>
          <cell r="F595">
            <v>0.25</v>
          </cell>
          <cell r="G595">
            <v>8500</v>
          </cell>
        </row>
        <row r="596">
          <cell r="B596" t="str">
            <v>B§C-95</v>
          </cell>
          <cell r="C596" t="str">
            <v>BÞt ®Çu c¸p B§C-95</v>
          </cell>
          <cell r="D596" t="str">
            <v>C¸i</v>
          </cell>
          <cell r="E596">
            <v>1</v>
          </cell>
          <cell r="F596">
            <v>0.25</v>
          </cell>
          <cell r="G596">
            <v>6500</v>
          </cell>
        </row>
        <row r="597">
          <cell r="B597" t="str">
            <v>B§C-70</v>
          </cell>
          <cell r="C597" t="str">
            <v>BÞt ®Çu c¸p B§C-70</v>
          </cell>
          <cell r="D597" t="str">
            <v>C¸i</v>
          </cell>
          <cell r="E597">
            <v>1</v>
          </cell>
          <cell r="F597">
            <v>0.25</v>
          </cell>
          <cell r="G597">
            <v>6500</v>
          </cell>
        </row>
        <row r="598">
          <cell r="B598" t="str">
            <v>B§C-50</v>
          </cell>
          <cell r="C598" t="str">
            <v>BÞt ®Çu c¸p B§C-50</v>
          </cell>
          <cell r="D598" t="str">
            <v>C¸i</v>
          </cell>
          <cell r="E598">
            <v>1</v>
          </cell>
          <cell r="F598">
            <v>0.25</v>
          </cell>
          <cell r="G598">
            <v>6500</v>
          </cell>
        </row>
        <row r="599">
          <cell r="B599" t="str">
            <v>KRM-50/150</v>
          </cell>
          <cell r="C599" t="str">
            <v>Phô kiÖn kh¸c</v>
          </cell>
          <cell r="D599" t="str">
            <v>C¸i</v>
          </cell>
          <cell r="E599">
            <v>1</v>
          </cell>
          <cell r="F599">
            <v>0.4</v>
          </cell>
          <cell r="G599">
            <v>33000</v>
          </cell>
        </row>
        <row r="600">
          <cell r="B600" t="str">
            <v>BLM-250</v>
          </cell>
          <cell r="C600" t="str">
            <v>Bu l«ng mãc m¹ch ®¬n BLM-250</v>
          </cell>
          <cell r="D600" t="str">
            <v>C¸i</v>
          </cell>
          <cell r="E600">
            <v>1</v>
          </cell>
          <cell r="F600">
            <v>1.5</v>
          </cell>
          <cell r="G600">
            <v>11500</v>
          </cell>
        </row>
        <row r="601">
          <cell r="B601" t="str">
            <v>BLM-300</v>
          </cell>
          <cell r="C601" t="str">
            <v>Bu l«ng mãc m¹ch ®¬n BLM-300</v>
          </cell>
          <cell r="D601" t="str">
            <v>C¸i</v>
          </cell>
          <cell r="E601">
            <v>1</v>
          </cell>
          <cell r="F601">
            <v>1.5</v>
          </cell>
          <cell r="G601">
            <v>15500</v>
          </cell>
        </row>
        <row r="602">
          <cell r="B602" t="str">
            <v>BLM-350</v>
          </cell>
          <cell r="C602" t="str">
            <v>Bu l«ng mãc m¹ch ®¬n BLM-350</v>
          </cell>
          <cell r="D602" t="str">
            <v>C¸i</v>
          </cell>
          <cell r="E602">
            <v>1</v>
          </cell>
          <cell r="F602">
            <v>1.5</v>
          </cell>
          <cell r="G602">
            <v>18500</v>
          </cell>
        </row>
        <row r="603">
          <cell r="B603" t="str">
            <v>BLM-450</v>
          </cell>
          <cell r="C603" t="str">
            <v>Bu l«ng mãc m¹ch ®¬n BLM-450</v>
          </cell>
          <cell r="D603" t="str">
            <v>C¸i</v>
          </cell>
          <cell r="E603">
            <v>1</v>
          </cell>
          <cell r="F603">
            <v>1.5</v>
          </cell>
          <cell r="G603">
            <v>21500</v>
          </cell>
        </row>
        <row r="604">
          <cell r="B604" t="str">
            <v>BLMK-250</v>
          </cell>
          <cell r="C604" t="str">
            <v>Bu l«ng mãc m¹ch kÐp BLMK-250</v>
          </cell>
          <cell r="D604" t="str">
            <v>C¸i</v>
          </cell>
          <cell r="E604">
            <v>1</v>
          </cell>
          <cell r="F604">
            <v>1.5</v>
          </cell>
          <cell r="G604">
            <v>17500</v>
          </cell>
        </row>
        <row r="605">
          <cell r="B605" t="str">
            <v>BLMK-300</v>
          </cell>
          <cell r="C605" t="str">
            <v>Bu l«ng mãc m¹ch kÐp BLMK-300</v>
          </cell>
          <cell r="D605" t="str">
            <v>C¸i</v>
          </cell>
          <cell r="E605">
            <v>1</v>
          </cell>
          <cell r="F605">
            <v>1.5</v>
          </cell>
          <cell r="G605">
            <v>20500</v>
          </cell>
        </row>
        <row r="606">
          <cell r="B606" t="str">
            <v>BLMK-350</v>
          </cell>
          <cell r="C606" t="str">
            <v>Bu l«ng mãc m¹ch kÐp BLMK-350</v>
          </cell>
          <cell r="D606" t="str">
            <v>C¸i</v>
          </cell>
          <cell r="E606">
            <v>1</v>
          </cell>
          <cell r="F606">
            <v>1.5</v>
          </cell>
          <cell r="G606">
            <v>23500</v>
          </cell>
        </row>
        <row r="607">
          <cell r="B607" t="str">
            <v>BLMK-450</v>
          </cell>
          <cell r="C607" t="str">
            <v>Bu l«ng mãc m¹ch kÐp BLMK-450</v>
          </cell>
          <cell r="D607" t="str">
            <v>C¸i</v>
          </cell>
          <cell r="E607">
            <v>1</v>
          </cell>
          <cell r="F607">
            <v>1.5</v>
          </cell>
          <cell r="G607">
            <v>25500</v>
          </cell>
        </row>
        <row r="608">
          <cell r="B608" t="str">
            <v>§TB</v>
          </cell>
          <cell r="C608" t="str">
            <v xml:space="preserve">§ai thÐp buéc + kho¸    §TB </v>
          </cell>
          <cell r="D608" t="str">
            <v>C¸i</v>
          </cell>
          <cell r="E608">
            <v>1</v>
          </cell>
          <cell r="F608">
            <v>1.5</v>
          </cell>
          <cell r="G608">
            <v>12500</v>
          </cell>
        </row>
        <row r="609">
          <cell r="B609" t="str">
            <v>NCC</v>
          </cell>
          <cell r="C609" t="str">
            <v>Nªm chªm c¸p</v>
          </cell>
          <cell r="D609" t="str">
            <v>C¸i</v>
          </cell>
          <cell r="E609">
            <v>1</v>
          </cell>
          <cell r="F609">
            <v>1.5</v>
          </cell>
          <cell r="G609">
            <v>6500</v>
          </cell>
        </row>
        <row r="610">
          <cell r="B610" t="str">
            <v>KRM-50</v>
          </cell>
          <cell r="C610" t="str">
            <v>§Çu cèt nh«m</v>
          </cell>
          <cell r="D610" t="str">
            <v>C¸i</v>
          </cell>
          <cell r="E610">
            <v>1</v>
          </cell>
          <cell r="F610">
            <v>0.4</v>
          </cell>
          <cell r="G610">
            <v>21000</v>
          </cell>
        </row>
        <row r="611">
          <cell r="B611" t="str">
            <v>§C-A300</v>
          </cell>
          <cell r="C611" t="str">
            <v>§Çu cèt nh«m  §C-A300</v>
          </cell>
          <cell r="D611" t="str">
            <v>C¸i</v>
          </cell>
          <cell r="E611">
            <v>1</v>
          </cell>
          <cell r="F611">
            <v>0.35</v>
          </cell>
          <cell r="G611">
            <v>129000</v>
          </cell>
        </row>
        <row r="612">
          <cell r="B612" t="str">
            <v>§C-A240</v>
          </cell>
          <cell r="C612" t="str">
            <v>§Çu cèt nh«m  §C-A240</v>
          </cell>
          <cell r="D612" t="str">
            <v>C¸i</v>
          </cell>
          <cell r="E612">
            <v>1</v>
          </cell>
          <cell r="F612">
            <v>0.35</v>
          </cell>
          <cell r="G612">
            <v>109000</v>
          </cell>
        </row>
        <row r="613">
          <cell r="B613" t="str">
            <v>§C-A185</v>
          </cell>
          <cell r="C613" t="str">
            <v>§Çu cèt nh«m  §C-A185</v>
          </cell>
          <cell r="D613" t="str">
            <v>C¸i</v>
          </cell>
          <cell r="E613">
            <v>1</v>
          </cell>
          <cell r="F613">
            <v>0.35</v>
          </cell>
          <cell r="G613">
            <v>95500</v>
          </cell>
        </row>
        <row r="614">
          <cell r="B614" t="str">
            <v>§C-A150</v>
          </cell>
          <cell r="C614" t="str">
            <v>§Çu cèt nh«m  §C-A150</v>
          </cell>
          <cell r="D614" t="str">
            <v>C¸i</v>
          </cell>
          <cell r="E614">
            <v>1</v>
          </cell>
          <cell r="F614">
            <v>0.35</v>
          </cell>
          <cell r="G614">
            <v>87600</v>
          </cell>
        </row>
        <row r="615">
          <cell r="B615" t="str">
            <v>§C-A120</v>
          </cell>
          <cell r="C615" t="str">
            <v>§Çu cèt nh«m  §C-A120</v>
          </cell>
          <cell r="D615" t="str">
            <v>C¸i</v>
          </cell>
          <cell r="E615">
            <v>1</v>
          </cell>
          <cell r="F615">
            <v>0.35</v>
          </cell>
          <cell r="G615">
            <v>76500</v>
          </cell>
        </row>
        <row r="616">
          <cell r="B616" t="str">
            <v>§C-A95</v>
          </cell>
          <cell r="C616" t="str">
            <v>§Çu cèt nh«m  §C-A95</v>
          </cell>
          <cell r="D616" t="str">
            <v>C¸i</v>
          </cell>
          <cell r="E616">
            <v>1</v>
          </cell>
          <cell r="F616">
            <v>0.35</v>
          </cell>
          <cell r="G616">
            <v>63800</v>
          </cell>
        </row>
        <row r="617">
          <cell r="B617" t="str">
            <v>§C-A70</v>
          </cell>
          <cell r="C617" t="str">
            <v>§Çu cèt nh«m  §C-A70</v>
          </cell>
          <cell r="D617" t="str">
            <v>C¸i</v>
          </cell>
          <cell r="E617">
            <v>1</v>
          </cell>
          <cell r="F617">
            <v>0.35</v>
          </cell>
          <cell r="G617">
            <v>51200</v>
          </cell>
        </row>
        <row r="618">
          <cell r="B618" t="str">
            <v>§C-A50</v>
          </cell>
          <cell r="C618" t="str">
            <v>§Çu cèt nh«m  §C-A50</v>
          </cell>
          <cell r="D618" t="str">
            <v>C¸i</v>
          </cell>
          <cell r="E618">
            <v>1</v>
          </cell>
          <cell r="F618">
            <v>0.35</v>
          </cell>
          <cell r="G618">
            <v>47600</v>
          </cell>
        </row>
        <row r="619">
          <cell r="B619" t="str">
            <v>§C-A.300</v>
          </cell>
          <cell r="C619" t="str">
            <v>§Çu cèt nh«m  §C-A.300</v>
          </cell>
          <cell r="D619" t="str">
            <v>C¸i</v>
          </cell>
          <cell r="E619">
            <v>1</v>
          </cell>
          <cell r="F619">
            <v>0.35</v>
          </cell>
          <cell r="G619">
            <v>129000</v>
          </cell>
        </row>
        <row r="620">
          <cell r="B620" t="str">
            <v>§C-A.240</v>
          </cell>
          <cell r="C620" t="str">
            <v>§Çu cèt nh«m  §C-A.240</v>
          </cell>
          <cell r="D620" t="str">
            <v>C¸i</v>
          </cell>
          <cell r="E620">
            <v>1</v>
          </cell>
          <cell r="F620">
            <v>0.35</v>
          </cell>
          <cell r="G620">
            <v>109000</v>
          </cell>
        </row>
        <row r="621">
          <cell r="B621" t="str">
            <v>§C-A.185</v>
          </cell>
          <cell r="C621" t="str">
            <v>§Çu cèt nh«m  §C-A.185</v>
          </cell>
          <cell r="D621" t="str">
            <v>C¸i</v>
          </cell>
          <cell r="E621">
            <v>1</v>
          </cell>
          <cell r="F621">
            <v>0.35</v>
          </cell>
          <cell r="G621">
            <v>95500</v>
          </cell>
        </row>
        <row r="622">
          <cell r="B622" t="str">
            <v>§C-A.150</v>
          </cell>
          <cell r="C622" t="str">
            <v>§Çu cèt nh«m  §C-A.150</v>
          </cell>
          <cell r="D622" t="str">
            <v>C¸i</v>
          </cell>
          <cell r="E622">
            <v>1</v>
          </cell>
          <cell r="F622">
            <v>0.35</v>
          </cell>
          <cell r="G622">
            <v>87600</v>
          </cell>
        </row>
        <row r="623">
          <cell r="B623" t="str">
            <v>§C-A.120</v>
          </cell>
          <cell r="C623" t="str">
            <v>§Çu cèt nh«m  §C-A.120</v>
          </cell>
          <cell r="D623" t="str">
            <v>C¸i</v>
          </cell>
          <cell r="E623">
            <v>1</v>
          </cell>
          <cell r="F623">
            <v>0.35</v>
          </cell>
          <cell r="G623">
            <v>76500</v>
          </cell>
        </row>
        <row r="624">
          <cell r="B624" t="str">
            <v>§C-A.95</v>
          </cell>
          <cell r="C624" t="str">
            <v>§Çu cèt nh«m  §C-A.95</v>
          </cell>
          <cell r="D624" t="str">
            <v>C¸i</v>
          </cell>
          <cell r="E624">
            <v>1</v>
          </cell>
          <cell r="F624">
            <v>0.35</v>
          </cell>
          <cell r="G624">
            <v>63800</v>
          </cell>
        </row>
        <row r="625">
          <cell r="B625" t="str">
            <v>§C-A.70</v>
          </cell>
          <cell r="C625" t="str">
            <v>§Çu cèt nh«m  §C-A.70</v>
          </cell>
          <cell r="D625" t="str">
            <v>C¸i</v>
          </cell>
          <cell r="E625">
            <v>1</v>
          </cell>
          <cell r="F625">
            <v>0.35</v>
          </cell>
          <cell r="G625">
            <v>51200</v>
          </cell>
        </row>
        <row r="626">
          <cell r="B626" t="str">
            <v>§C-A.50</v>
          </cell>
          <cell r="C626" t="str">
            <v>§Çu cèt nh«m  §C-A.50</v>
          </cell>
          <cell r="D626" t="str">
            <v>C¸i</v>
          </cell>
          <cell r="E626">
            <v>1</v>
          </cell>
          <cell r="F626">
            <v>0.35</v>
          </cell>
          <cell r="G626">
            <v>47600</v>
          </cell>
        </row>
        <row r="627">
          <cell r="B627" t="str">
            <v>KRM-150/70</v>
          </cell>
          <cell r="C627" t="str">
            <v>§Çu cèt ®ång nh«m</v>
          </cell>
          <cell r="D627" t="str">
            <v>C¸i</v>
          </cell>
          <cell r="E627">
            <v>1</v>
          </cell>
          <cell r="F627">
            <v>0.4</v>
          </cell>
          <cell r="G627">
            <v>33000</v>
          </cell>
        </row>
        <row r="628">
          <cell r="B628" t="str">
            <v>§CA-M-240</v>
          </cell>
          <cell r="C628" t="str">
            <v>§Çu cèt ®ång nh«m §CA-M-240</v>
          </cell>
          <cell r="D628" t="str">
            <v>C¸i</v>
          </cell>
          <cell r="E628">
            <v>1</v>
          </cell>
          <cell r="F628">
            <v>0.4</v>
          </cell>
          <cell r="G628">
            <v>135700</v>
          </cell>
        </row>
        <row r="629">
          <cell r="B629" t="str">
            <v>§CA-M-240/185</v>
          </cell>
          <cell r="C629" t="str">
            <v>§Çu cèt ®ång nh«m §CA-M-240/185</v>
          </cell>
          <cell r="D629" t="str">
            <v>C¸i</v>
          </cell>
          <cell r="E629">
            <v>1</v>
          </cell>
          <cell r="F629">
            <v>0.4</v>
          </cell>
          <cell r="G629">
            <v>135700</v>
          </cell>
        </row>
        <row r="630">
          <cell r="B630" t="str">
            <v>§CA-M-240/150</v>
          </cell>
          <cell r="C630" t="str">
            <v>§Çu cèt ®ång nh«m §CA-M-240/150</v>
          </cell>
          <cell r="D630" t="str">
            <v>C¸i</v>
          </cell>
          <cell r="E630">
            <v>1</v>
          </cell>
          <cell r="F630">
            <v>0.4</v>
          </cell>
          <cell r="G630">
            <v>135700</v>
          </cell>
        </row>
        <row r="631">
          <cell r="B631" t="str">
            <v>§CA-M-240/120</v>
          </cell>
          <cell r="C631" t="str">
            <v>§Çu cèt ®ång nh«m §CA-M-240/120</v>
          </cell>
          <cell r="D631" t="str">
            <v>C¸i</v>
          </cell>
          <cell r="E631">
            <v>1</v>
          </cell>
          <cell r="F631">
            <v>0.4</v>
          </cell>
          <cell r="G631">
            <v>135700</v>
          </cell>
        </row>
        <row r="632">
          <cell r="B632" t="str">
            <v>§CA-M-240/95</v>
          </cell>
          <cell r="C632" t="str">
            <v>§Çu cèt ®ång nh«m §CA-M-240/95</v>
          </cell>
          <cell r="D632" t="str">
            <v>C¸i</v>
          </cell>
          <cell r="E632">
            <v>1</v>
          </cell>
          <cell r="F632">
            <v>0.4</v>
          </cell>
          <cell r="G632">
            <v>135700</v>
          </cell>
        </row>
        <row r="633">
          <cell r="B633" t="str">
            <v>§CA-M-240/70</v>
          </cell>
          <cell r="C633" t="str">
            <v>§Çu cèt ®ång nh«m §CA-M-240/70</v>
          </cell>
          <cell r="D633" t="str">
            <v>C¸i</v>
          </cell>
          <cell r="E633">
            <v>1</v>
          </cell>
          <cell r="F633">
            <v>0.4</v>
          </cell>
          <cell r="G633">
            <v>135700</v>
          </cell>
        </row>
        <row r="634">
          <cell r="B634" t="str">
            <v>§CA-M-240/50</v>
          </cell>
          <cell r="C634" t="str">
            <v>§Çu cèt ®ång nh«m §CA-M-240/50</v>
          </cell>
          <cell r="D634" t="str">
            <v>C¸i</v>
          </cell>
          <cell r="E634">
            <v>1</v>
          </cell>
          <cell r="F634">
            <v>0.4</v>
          </cell>
          <cell r="G634">
            <v>135700</v>
          </cell>
        </row>
        <row r="635">
          <cell r="B635" t="str">
            <v>§CA-M-185</v>
          </cell>
          <cell r="C635" t="str">
            <v>§Çu cèt ®ång nh«m §CA-M-185</v>
          </cell>
          <cell r="D635" t="str">
            <v>C¸i</v>
          </cell>
          <cell r="E635">
            <v>1</v>
          </cell>
          <cell r="F635">
            <v>0.4</v>
          </cell>
          <cell r="G635">
            <v>125700</v>
          </cell>
        </row>
        <row r="636">
          <cell r="B636" t="str">
            <v>§CA-M-185/150</v>
          </cell>
          <cell r="C636" t="str">
            <v>§Çu cèt ®ång nh«m §CA-M-185/150</v>
          </cell>
          <cell r="D636" t="str">
            <v>C¸i</v>
          </cell>
          <cell r="E636">
            <v>1</v>
          </cell>
          <cell r="F636">
            <v>0.4</v>
          </cell>
          <cell r="G636">
            <v>125700</v>
          </cell>
        </row>
        <row r="637">
          <cell r="B637" t="str">
            <v>§CA-M-185/120</v>
          </cell>
          <cell r="C637" t="str">
            <v>§Çu cèt ®ång nh«m §CA-M-185/120</v>
          </cell>
          <cell r="D637" t="str">
            <v>C¸i</v>
          </cell>
          <cell r="E637">
            <v>1</v>
          </cell>
          <cell r="F637">
            <v>0.4</v>
          </cell>
          <cell r="G637">
            <v>125700</v>
          </cell>
        </row>
        <row r="638">
          <cell r="B638" t="str">
            <v>§CA-M-185/95</v>
          </cell>
          <cell r="C638" t="str">
            <v>§Çu cèt ®ång nh«m §CA-M-185/95</v>
          </cell>
          <cell r="D638" t="str">
            <v>C¸i</v>
          </cell>
          <cell r="E638">
            <v>1</v>
          </cell>
          <cell r="F638">
            <v>0.4</v>
          </cell>
          <cell r="G638">
            <v>125700</v>
          </cell>
        </row>
        <row r="639">
          <cell r="B639" t="str">
            <v>§CA-M-185/70</v>
          </cell>
          <cell r="C639" t="str">
            <v>§Çu cèt ®ång nh«m §CA-M-185/70</v>
          </cell>
          <cell r="D639" t="str">
            <v>C¸i</v>
          </cell>
          <cell r="E639">
            <v>1</v>
          </cell>
          <cell r="F639">
            <v>0.4</v>
          </cell>
          <cell r="G639">
            <v>125700</v>
          </cell>
        </row>
        <row r="640">
          <cell r="B640" t="str">
            <v>§CA-M-185/50</v>
          </cell>
          <cell r="C640" t="str">
            <v>§Çu cèt ®ång nh«m §CA-M-185/50</v>
          </cell>
          <cell r="D640" t="str">
            <v>C¸i</v>
          </cell>
          <cell r="E640">
            <v>1</v>
          </cell>
          <cell r="F640">
            <v>0.4</v>
          </cell>
          <cell r="G640">
            <v>125700</v>
          </cell>
        </row>
        <row r="641">
          <cell r="B641" t="str">
            <v>§CA-M-150</v>
          </cell>
          <cell r="C641" t="str">
            <v>§Çu cèt ®ång nh«m §CA-M-150</v>
          </cell>
          <cell r="D641" t="str">
            <v>C¸i</v>
          </cell>
          <cell r="E641">
            <v>1</v>
          </cell>
          <cell r="F641">
            <v>0.4</v>
          </cell>
          <cell r="G641">
            <v>109600</v>
          </cell>
        </row>
        <row r="642">
          <cell r="B642" t="str">
            <v>§CA-M-150/120</v>
          </cell>
          <cell r="C642" t="str">
            <v>§Çu cèt ®ång nh«m §CA-M-150/120</v>
          </cell>
          <cell r="D642" t="str">
            <v>C¸i</v>
          </cell>
          <cell r="E642">
            <v>1</v>
          </cell>
          <cell r="F642">
            <v>0.4</v>
          </cell>
          <cell r="G642">
            <v>109600</v>
          </cell>
        </row>
        <row r="643">
          <cell r="B643" t="str">
            <v>§CA-M-150/95</v>
          </cell>
          <cell r="C643" t="str">
            <v>§Çu cèt ®ång nh«m §CA-M-150/95</v>
          </cell>
          <cell r="D643" t="str">
            <v>C¸i</v>
          </cell>
          <cell r="E643">
            <v>1</v>
          </cell>
          <cell r="F643">
            <v>0.4</v>
          </cell>
          <cell r="G643">
            <v>109600</v>
          </cell>
        </row>
        <row r="644">
          <cell r="B644" t="str">
            <v>§CA-M-150/70</v>
          </cell>
          <cell r="C644" t="str">
            <v>§Çu cèt ®ång nh«m §CA-M-150/70</v>
          </cell>
          <cell r="D644" t="str">
            <v>C¸i</v>
          </cell>
          <cell r="E644">
            <v>1</v>
          </cell>
          <cell r="F644">
            <v>0.4</v>
          </cell>
          <cell r="G644">
            <v>109600</v>
          </cell>
        </row>
        <row r="645">
          <cell r="B645" t="str">
            <v>§CA-M-150/50</v>
          </cell>
          <cell r="C645" t="str">
            <v>§Çu cèt ®ång nh«m §CA-M-150/50</v>
          </cell>
          <cell r="D645" t="str">
            <v>C¸i</v>
          </cell>
          <cell r="E645">
            <v>1</v>
          </cell>
          <cell r="F645">
            <v>0.4</v>
          </cell>
          <cell r="G645">
            <v>109600</v>
          </cell>
        </row>
        <row r="646">
          <cell r="B646" t="str">
            <v>§CA-M-120</v>
          </cell>
          <cell r="C646" t="str">
            <v>§Çu cèt ®ång nh«m §CA-M-120</v>
          </cell>
          <cell r="D646" t="str">
            <v>C¸i</v>
          </cell>
          <cell r="E646">
            <v>1</v>
          </cell>
          <cell r="F646">
            <v>0.4</v>
          </cell>
          <cell r="G646">
            <v>95500</v>
          </cell>
        </row>
        <row r="647">
          <cell r="B647" t="str">
            <v>§CA-M-120/95</v>
          </cell>
          <cell r="C647" t="str">
            <v>§Çu cèt ®ång nh«m §CA-M-120/95</v>
          </cell>
          <cell r="D647" t="str">
            <v>C¸i</v>
          </cell>
          <cell r="E647">
            <v>1</v>
          </cell>
          <cell r="F647">
            <v>0.4</v>
          </cell>
          <cell r="G647">
            <v>95500</v>
          </cell>
        </row>
        <row r="648">
          <cell r="B648" t="str">
            <v>§CA-M-120/70</v>
          </cell>
          <cell r="C648" t="str">
            <v>§Çu cèt ®ång nh«m §CA-M-120/70</v>
          </cell>
          <cell r="D648" t="str">
            <v>C¸i</v>
          </cell>
          <cell r="E648">
            <v>1</v>
          </cell>
          <cell r="F648">
            <v>0.4</v>
          </cell>
          <cell r="G648">
            <v>95500</v>
          </cell>
        </row>
        <row r="649">
          <cell r="B649" t="str">
            <v>§CA-M-120/50</v>
          </cell>
          <cell r="C649" t="str">
            <v>§Çu cèt ®ång nh«m §CA-M-120/50</v>
          </cell>
          <cell r="D649" t="str">
            <v>C¸i</v>
          </cell>
          <cell r="E649">
            <v>1</v>
          </cell>
          <cell r="F649">
            <v>0.4</v>
          </cell>
          <cell r="G649">
            <v>95500</v>
          </cell>
        </row>
        <row r="650">
          <cell r="B650" t="str">
            <v>§CA-M-95</v>
          </cell>
          <cell r="C650" t="str">
            <v>§Çu cèt ®ång nh«m §CA-M-95</v>
          </cell>
          <cell r="D650" t="str">
            <v>C¸i</v>
          </cell>
          <cell r="E650">
            <v>1</v>
          </cell>
          <cell r="F650">
            <v>0.4</v>
          </cell>
          <cell r="G650">
            <v>87600</v>
          </cell>
        </row>
        <row r="651">
          <cell r="B651" t="str">
            <v>§CA-M-95/70</v>
          </cell>
          <cell r="C651" t="str">
            <v>§Çu cèt ®ång nh«m §CA-M-95/70</v>
          </cell>
          <cell r="D651" t="str">
            <v>C¸i</v>
          </cell>
          <cell r="E651">
            <v>1</v>
          </cell>
          <cell r="F651">
            <v>0.4</v>
          </cell>
          <cell r="G651">
            <v>87600</v>
          </cell>
        </row>
        <row r="652">
          <cell r="B652" t="str">
            <v>§CA-M-95/50</v>
          </cell>
          <cell r="C652" t="str">
            <v>§Çu cèt ®ång nh«m §CA-M-95/50</v>
          </cell>
          <cell r="D652" t="str">
            <v>C¸i</v>
          </cell>
          <cell r="E652">
            <v>1</v>
          </cell>
          <cell r="F652">
            <v>0.4</v>
          </cell>
          <cell r="G652">
            <v>87600</v>
          </cell>
        </row>
        <row r="653">
          <cell r="B653" t="str">
            <v>§CA-M-70</v>
          </cell>
          <cell r="C653" t="str">
            <v>§Çu cèt ®ång nh«m §CA-M-70</v>
          </cell>
          <cell r="D653" t="str">
            <v>C¸i</v>
          </cell>
          <cell r="E653">
            <v>1</v>
          </cell>
          <cell r="F653">
            <v>0.4</v>
          </cell>
          <cell r="G653">
            <v>78500</v>
          </cell>
        </row>
        <row r="654">
          <cell r="B654" t="str">
            <v>§CA-M-70/50</v>
          </cell>
          <cell r="C654" t="str">
            <v>§Çu cèt ®ång nh«m §CA-M-70/50</v>
          </cell>
          <cell r="D654" t="str">
            <v>C¸i</v>
          </cell>
          <cell r="E654">
            <v>1</v>
          </cell>
          <cell r="F654">
            <v>0.4</v>
          </cell>
          <cell r="G654">
            <v>78500</v>
          </cell>
        </row>
        <row r="655">
          <cell r="B655" t="str">
            <v>§CA-M-50</v>
          </cell>
          <cell r="C655" t="str">
            <v>§Çu cèt ®ång nh«m §CA-M-50</v>
          </cell>
          <cell r="D655" t="str">
            <v>C¸i</v>
          </cell>
          <cell r="E655">
            <v>1</v>
          </cell>
          <cell r="F655">
            <v>0.4</v>
          </cell>
          <cell r="G655">
            <v>67500</v>
          </cell>
        </row>
        <row r="656">
          <cell r="B656" t="str">
            <v>§CA-M-185/240</v>
          </cell>
          <cell r="C656" t="str">
            <v>§Çu cèt ®ång nh«m §CA-M-185/240</v>
          </cell>
          <cell r="D656" t="str">
            <v>C¸i</v>
          </cell>
          <cell r="E656">
            <v>1</v>
          </cell>
          <cell r="F656">
            <v>0.4</v>
          </cell>
          <cell r="G656">
            <v>135700</v>
          </cell>
        </row>
        <row r="657">
          <cell r="B657" t="str">
            <v>§CA-M-150/240</v>
          </cell>
          <cell r="C657" t="str">
            <v>§Çu cèt ®ång nh«m §CA-M-150/240</v>
          </cell>
          <cell r="D657" t="str">
            <v>C¸i</v>
          </cell>
          <cell r="E657">
            <v>1</v>
          </cell>
          <cell r="F657">
            <v>0.4</v>
          </cell>
          <cell r="G657">
            <v>135700</v>
          </cell>
        </row>
        <row r="658">
          <cell r="B658" t="str">
            <v>§CA-M-120/240</v>
          </cell>
          <cell r="C658" t="str">
            <v>§Çu cèt ®ång nh«m §CA-M-120/240</v>
          </cell>
          <cell r="D658" t="str">
            <v>C¸i</v>
          </cell>
          <cell r="E658">
            <v>1</v>
          </cell>
          <cell r="F658">
            <v>0.4</v>
          </cell>
          <cell r="G658">
            <v>135700</v>
          </cell>
        </row>
        <row r="659">
          <cell r="B659" t="str">
            <v>§CA-M-95/240</v>
          </cell>
          <cell r="C659" t="str">
            <v>§Çu cèt ®ång nh«m §CA-M-95/240</v>
          </cell>
          <cell r="D659" t="str">
            <v>C¸i</v>
          </cell>
          <cell r="E659">
            <v>1</v>
          </cell>
          <cell r="F659">
            <v>0.4</v>
          </cell>
          <cell r="G659">
            <v>135700</v>
          </cell>
        </row>
        <row r="660">
          <cell r="B660" t="str">
            <v>§CA-M-70/240</v>
          </cell>
          <cell r="C660" t="str">
            <v>§Çu cèt ®ång nh«m §CA-M-70/240</v>
          </cell>
          <cell r="D660" t="str">
            <v>C¸i</v>
          </cell>
          <cell r="E660">
            <v>1</v>
          </cell>
          <cell r="F660">
            <v>0.4</v>
          </cell>
          <cell r="G660">
            <v>135700</v>
          </cell>
        </row>
        <row r="661">
          <cell r="B661" t="str">
            <v>§CA-M-50/240</v>
          </cell>
          <cell r="C661" t="str">
            <v>§Çu cèt ®ång nh«m §CA-M-50/240</v>
          </cell>
          <cell r="D661" t="str">
            <v>C¸i</v>
          </cell>
          <cell r="E661">
            <v>1</v>
          </cell>
          <cell r="F661">
            <v>0.4</v>
          </cell>
          <cell r="G661">
            <v>135700</v>
          </cell>
        </row>
        <row r="662">
          <cell r="B662" t="str">
            <v>§CA-M-150/185</v>
          </cell>
          <cell r="C662" t="str">
            <v>§Çu cèt ®ång nh«m §CA-M-150/185</v>
          </cell>
          <cell r="D662" t="str">
            <v>C¸i</v>
          </cell>
          <cell r="E662">
            <v>1</v>
          </cell>
          <cell r="F662">
            <v>0.4</v>
          </cell>
          <cell r="G662">
            <v>125700</v>
          </cell>
        </row>
        <row r="663">
          <cell r="B663" t="str">
            <v>§CA-M-120/185</v>
          </cell>
          <cell r="C663" t="str">
            <v>§Çu cèt ®ång nh«m §CA-M-120/185</v>
          </cell>
          <cell r="D663" t="str">
            <v>C¸i</v>
          </cell>
          <cell r="E663">
            <v>1</v>
          </cell>
          <cell r="F663">
            <v>0.4</v>
          </cell>
          <cell r="G663">
            <v>125700</v>
          </cell>
        </row>
        <row r="664">
          <cell r="B664" t="str">
            <v>§CA-M-95/185</v>
          </cell>
          <cell r="C664" t="str">
            <v>§Çu cèt ®ång nh«m §CA-M-95/185</v>
          </cell>
          <cell r="D664" t="str">
            <v>C¸i</v>
          </cell>
          <cell r="E664">
            <v>1</v>
          </cell>
          <cell r="F664">
            <v>0.4</v>
          </cell>
          <cell r="G664">
            <v>125700</v>
          </cell>
        </row>
        <row r="665">
          <cell r="B665" t="str">
            <v>§CA-M-70/185</v>
          </cell>
          <cell r="C665" t="str">
            <v>§Çu cèt ®ång nh«m §CA-M-70/185</v>
          </cell>
          <cell r="D665" t="str">
            <v>C¸i</v>
          </cell>
          <cell r="E665">
            <v>1</v>
          </cell>
          <cell r="F665">
            <v>0.4</v>
          </cell>
          <cell r="G665">
            <v>125700</v>
          </cell>
        </row>
        <row r="666">
          <cell r="B666" t="str">
            <v>§CA-M-50/185</v>
          </cell>
          <cell r="C666" t="str">
            <v>§Çu cèt ®ång nh«m §CA-M-50/185</v>
          </cell>
          <cell r="D666" t="str">
            <v>C¸i</v>
          </cell>
          <cell r="E666">
            <v>1</v>
          </cell>
          <cell r="F666">
            <v>0.4</v>
          </cell>
          <cell r="G666">
            <v>125700</v>
          </cell>
        </row>
        <row r="667">
          <cell r="B667" t="str">
            <v>§CA-M-120/150</v>
          </cell>
          <cell r="C667" t="str">
            <v>§Çu cèt ®ång nh«m §CA-M-120/150</v>
          </cell>
          <cell r="D667" t="str">
            <v>C¸i</v>
          </cell>
          <cell r="E667">
            <v>1</v>
          </cell>
          <cell r="F667">
            <v>0.4</v>
          </cell>
          <cell r="G667">
            <v>109600</v>
          </cell>
        </row>
        <row r="668">
          <cell r="B668" t="str">
            <v>§CA-M-95/150</v>
          </cell>
          <cell r="C668" t="str">
            <v>§Çu cèt ®ång nh«m §CA-M-95/150</v>
          </cell>
          <cell r="D668" t="str">
            <v>C¸i</v>
          </cell>
          <cell r="E668">
            <v>1</v>
          </cell>
          <cell r="F668">
            <v>0.4</v>
          </cell>
          <cell r="G668">
            <v>109600</v>
          </cell>
        </row>
        <row r="669">
          <cell r="B669" t="str">
            <v>§CA-M-70/150</v>
          </cell>
          <cell r="C669" t="str">
            <v>§Çu cèt ®ång nh«m §CA-M-70/150</v>
          </cell>
          <cell r="D669" t="str">
            <v>C¸i</v>
          </cell>
          <cell r="E669">
            <v>1</v>
          </cell>
          <cell r="F669">
            <v>0.4</v>
          </cell>
          <cell r="G669">
            <v>109600</v>
          </cell>
        </row>
        <row r="670">
          <cell r="B670" t="str">
            <v>§CA-M-50/150</v>
          </cell>
          <cell r="C670" t="str">
            <v>§Çu cèt ®ång nh«m §CA-M-50/150</v>
          </cell>
          <cell r="D670" t="str">
            <v>C¸i</v>
          </cell>
          <cell r="E670">
            <v>1</v>
          </cell>
          <cell r="F670">
            <v>0.4</v>
          </cell>
          <cell r="G670">
            <v>109600</v>
          </cell>
        </row>
        <row r="671">
          <cell r="B671" t="str">
            <v>§CA-M-95/120</v>
          </cell>
          <cell r="C671" t="str">
            <v>§Çu cèt ®ång nh«m §CA-M-95/120</v>
          </cell>
          <cell r="D671" t="str">
            <v>C¸i</v>
          </cell>
          <cell r="E671">
            <v>1</v>
          </cell>
          <cell r="F671">
            <v>0.4</v>
          </cell>
          <cell r="G671">
            <v>95500</v>
          </cell>
        </row>
        <row r="672">
          <cell r="B672" t="str">
            <v>§CA-M-70/120</v>
          </cell>
          <cell r="C672" t="str">
            <v>§Çu cèt ®ång nh«m §CA-M-70/120</v>
          </cell>
          <cell r="D672" t="str">
            <v>C¸i</v>
          </cell>
          <cell r="E672">
            <v>1</v>
          </cell>
          <cell r="F672">
            <v>0.4</v>
          </cell>
          <cell r="G672">
            <v>95500</v>
          </cell>
        </row>
        <row r="673">
          <cell r="B673" t="str">
            <v>§CA-M-50/120</v>
          </cell>
          <cell r="C673" t="str">
            <v>§Çu cèt ®ång nh«m §CA-M-50/120</v>
          </cell>
          <cell r="D673" t="str">
            <v>C¸i</v>
          </cell>
          <cell r="E673">
            <v>1</v>
          </cell>
          <cell r="F673">
            <v>0.4</v>
          </cell>
          <cell r="G673">
            <v>95500</v>
          </cell>
        </row>
        <row r="674">
          <cell r="B674" t="str">
            <v>§CA-M-70/95</v>
          </cell>
          <cell r="C674" t="str">
            <v>§Çu cèt ®ång nh«m §CA-M-70/95</v>
          </cell>
          <cell r="D674" t="str">
            <v>C¸i</v>
          </cell>
          <cell r="E674">
            <v>1</v>
          </cell>
          <cell r="F674">
            <v>0.4</v>
          </cell>
          <cell r="G674">
            <v>87600</v>
          </cell>
        </row>
        <row r="675">
          <cell r="B675" t="str">
            <v>§CA-M-50/95</v>
          </cell>
          <cell r="C675" t="str">
            <v>§Çu cèt ®ång nh«m §CA-M-50/95</v>
          </cell>
          <cell r="D675" t="str">
            <v>C¸i</v>
          </cell>
          <cell r="E675">
            <v>1</v>
          </cell>
          <cell r="F675">
            <v>0.4</v>
          </cell>
          <cell r="G675">
            <v>87600</v>
          </cell>
        </row>
        <row r="676">
          <cell r="B676" t="str">
            <v>§CA-M-50/70</v>
          </cell>
          <cell r="C676" t="str">
            <v>§Çu cèt ®ång nh«m §CA-M-50/70</v>
          </cell>
          <cell r="D676" t="str">
            <v>C¸i</v>
          </cell>
          <cell r="E676">
            <v>1</v>
          </cell>
          <cell r="F676">
            <v>0.4</v>
          </cell>
          <cell r="G676">
            <v>78500</v>
          </cell>
        </row>
        <row r="677">
          <cell r="B677" t="str">
            <v>§CM-A-240</v>
          </cell>
          <cell r="C677" t="str">
            <v>§Çu cèt ®ång nh«m §CM-A-240</v>
          </cell>
          <cell r="D677" t="str">
            <v>C¸i</v>
          </cell>
          <cell r="E677">
            <v>1</v>
          </cell>
          <cell r="F677">
            <v>0.4</v>
          </cell>
          <cell r="G677">
            <v>135700</v>
          </cell>
        </row>
        <row r="678">
          <cell r="B678" t="str">
            <v>§CM-A-240/185</v>
          </cell>
          <cell r="C678" t="str">
            <v>§Çu cèt ®ång nh«m §CM-A-240/185</v>
          </cell>
          <cell r="D678" t="str">
            <v>C¸i</v>
          </cell>
          <cell r="E678">
            <v>1</v>
          </cell>
          <cell r="F678">
            <v>0.4</v>
          </cell>
          <cell r="G678">
            <v>135700</v>
          </cell>
        </row>
        <row r="679">
          <cell r="B679" t="str">
            <v>§CM-A-240/150</v>
          </cell>
          <cell r="C679" t="str">
            <v>§Çu cèt ®ång nh«m §CM-A-240/150</v>
          </cell>
          <cell r="D679" t="str">
            <v>C¸i</v>
          </cell>
          <cell r="E679">
            <v>1</v>
          </cell>
          <cell r="F679">
            <v>0.4</v>
          </cell>
          <cell r="G679">
            <v>135700</v>
          </cell>
        </row>
        <row r="680">
          <cell r="B680" t="str">
            <v>§CM-A-240/120</v>
          </cell>
          <cell r="C680" t="str">
            <v>§Çu cèt ®ång nh«m §CM-A-240/120</v>
          </cell>
          <cell r="D680" t="str">
            <v>C¸i</v>
          </cell>
          <cell r="E680">
            <v>1</v>
          </cell>
          <cell r="F680">
            <v>0.4</v>
          </cell>
          <cell r="G680">
            <v>135700</v>
          </cell>
        </row>
        <row r="681">
          <cell r="B681" t="str">
            <v>§CM-A-240/95</v>
          </cell>
          <cell r="C681" t="str">
            <v>§Çu cèt ®ång nh«m §CM-A-240/95</v>
          </cell>
          <cell r="D681" t="str">
            <v>C¸i</v>
          </cell>
          <cell r="E681">
            <v>1</v>
          </cell>
          <cell r="F681">
            <v>0.4</v>
          </cell>
          <cell r="G681">
            <v>135700</v>
          </cell>
        </row>
        <row r="682">
          <cell r="B682" t="str">
            <v>§CM-A-240/70</v>
          </cell>
          <cell r="C682" t="str">
            <v>§Çu cèt ®ång nh«m §CM-A-240/70</v>
          </cell>
          <cell r="D682" t="str">
            <v>C¸i</v>
          </cell>
          <cell r="E682">
            <v>1</v>
          </cell>
          <cell r="F682">
            <v>0.4</v>
          </cell>
          <cell r="G682">
            <v>135700</v>
          </cell>
        </row>
        <row r="683">
          <cell r="B683" t="str">
            <v>§CM-A-240/50</v>
          </cell>
          <cell r="C683" t="str">
            <v>§Çu cèt ®ång nh«m §CM-A-240/50</v>
          </cell>
          <cell r="D683" t="str">
            <v>C¸i</v>
          </cell>
          <cell r="E683">
            <v>1</v>
          </cell>
          <cell r="F683">
            <v>0.4</v>
          </cell>
          <cell r="G683">
            <v>135700</v>
          </cell>
        </row>
        <row r="684">
          <cell r="B684" t="str">
            <v>§CM-A-185</v>
          </cell>
          <cell r="C684" t="str">
            <v>§Çu cèt ®ång nh«m §CM-A-185</v>
          </cell>
          <cell r="D684" t="str">
            <v>C¸i</v>
          </cell>
          <cell r="E684">
            <v>1</v>
          </cell>
          <cell r="F684">
            <v>0.4</v>
          </cell>
          <cell r="G684">
            <v>125700</v>
          </cell>
        </row>
        <row r="685">
          <cell r="B685" t="str">
            <v>§CM-A-185/150</v>
          </cell>
          <cell r="C685" t="str">
            <v>§Çu cèt ®ång nh«m §CM-A-185/150</v>
          </cell>
          <cell r="D685" t="str">
            <v>C¸i</v>
          </cell>
          <cell r="E685">
            <v>1</v>
          </cell>
          <cell r="F685">
            <v>0.4</v>
          </cell>
          <cell r="G685">
            <v>125700</v>
          </cell>
        </row>
        <row r="686">
          <cell r="B686" t="str">
            <v>§CM-A-185/120</v>
          </cell>
          <cell r="C686" t="str">
            <v>§Çu cèt ®ång nh«m §CM-A-185/120</v>
          </cell>
          <cell r="D686" t="str">
            <v>C¸i</v>
          </cell>
          <cell r="E686">
            <v>1</v>
          </cell>
          <cell r="F686">
            <v>0.4</v>
          </cell>
          <cell r="G686">
            <v>125700</v>
          </cell>
        </row>
        <row r="687">
          <cell r="B687" t="str">
            <v>§CM-A-185/95</v>
          </cell>
          <cell r="C687" t="str">
            <v>§Çu cèt ®ång nh«m §CM-A-185/95</v>
          </cell>
          <cell r="D687" t="str">
            <v>C¸i</v>
          </cell>
          <cell r="E687">
            <v>1</v>
          </cell>
          <cell r="F687">
            <v>0.4</v>
          </cell>
          <cell r="G687">
            <v>125700</v>
          </cell>
        </row>
        <row r="688">
          <cell r="B688" t="str">
            <v>§CM-A-185/70</v>
          </cell>
          <cell r="C688" t="str">
            <v>§Çu cèt ®ång nh«m §CM-A-185/70</v>
          </cell>
          <cell r="D688" t="str">
            <v>C¸i</v>
          </cell>
          <cell r="E688">
            <v>1</v>
          </cell>
          <cell r="F688">
            <v>0.4</v>
          </cell>
          <cell r="G688">
            <v>125700</v>
          </cell>
        </row>
        <row r="689">
          <cell r="B689" t="str">
            <v>§CM-A-185/50</v>
          </cell>
          <cell r="C689" t="str">
            <v>§Çu cèt ®ång nh«m §CM-A-185/50</v>
          </cell>
          <cell r="D689" t="str">
            <v>C¸i</v>
          </cell>
          <cell r="E689">
            <v>1</v>
          </cell>
          <cell r="F689">
            <v>0.4</v>
          </cell>
          <cell r="G689">
            <v>125700</v>
          </cell>
        </row>
        <row r="690">
          <cell r="B690" t="str">
            <v>§CM-A-150</v>
          </cell>
          <cell r="C690" t="str">
            <v>§Çu cèt ®ång nh«m §CM-A-150</v>
          </cell>
          <cell r="D690" t="str">
            <v>C¸i</v>
          </cell>
          <cell r="E690">
            <v>1</v>
          </cell>
          <cell r="F690">
            <v>0.4</v>
          </cell>
          <cell r="G690">
            <v>109600</v>
          </cell>
        </row>
        <row r="691">
          <cell r="B691" t="str">
            <v>§CM-A-150/120</v>
          </cell>
          <cell r="C691" t="str">
            <v>§Çu cèt ®ång nh«m §CM-A-150/120</v>
          </cell>
          <cell r="D691" t="str">
            <v>C¸i</v>
          </cell>
          <cell r="E691">
            <v>1</v>
          </cell>
          <cell r="F691">
            <v>0.4</v>
          </cell>
          <cell r="G691">
            <v>109600</v>
          </cell>
        </row>
        <row r="692">
          <cell r="B692" t="str">
            <v>§CM-A-150/95</v>
          </cell>
          <cell r="C692" t="str">
            <v>§Çu cèt ®ång nh«m §CM-A-150/95</v>
          </cell>
          <cell r="D692" t="str">
            <v>C¸i</v>
          </cell>
          <cell r="E692">
            <v>1</v>
          </cell>
          <cell r="F692">
            <v>0.4</v>
          </cell>
          <cell r="G692">
            <v>109600</v>
          </cell>
        </row>
        <row r="693">
          <cell r="B693" t="str">
            <v>§CM-A-150/70</v>
          </cell>
          <cell r="C693" t="str">
            <v>§Çu cèt ®ång nh«m §CM-A-150/70</v>
          </cell>
          <cell r="D693" t="str">
            <v>C¸i</v>
          </cell>
          <cell r="E693">
            <v>1</v>
          </cell>
          <cell r="F693">
            <v>0.4</v>
          </cell>
          <cell r="G693">
            <v>109600</v>
          </cell>
        </row>
        <row r="694">
          <cell r="B694" t="str">
            <v>§CM-A-150/50</v>
          </cell>
          <cell r="C694" t="str">
            <v>§Çu cèt ®ång nh«m §CM-A-150/50</v>
          </cell>
          <cell r="D694" t="str">
            <v>C¸i</v>
          </cell>
          <cell r="E694">
            <v>1</v>
          </cell>
          <cell r="F694">
            <v>0.4</v>
          </cell>
          <cell r="G694">
            <v>109600</v>
          </cell>
        </row>
        <row r="695">
          <cell r="B695" t="str">
            <v>§CM-A-120</v>
          </cell>
          <cell r="C695" t="str">
            <v>§Çu cèt ®ång nh«m §CM-A-120</v>
          </cell>
          <cell r="D695" t="str">
            <v>C¸i</v>
          </cell>
          <cell r="E695">
            <v>1</v>
          </cell>
          <cell r="F695">
            <v>0.4</v>
          </cell>
          <cell r="G695">
            <v>95500</v>
          </cell>
        </row>
        <row r="696">
          <cell r="B696" t="str">
            <v>§CM-A-120/95</v>
          </cell>
          <cell r="C696" t="str">
            <v>§Çu cèt ®ång nh«m §CM-A-120/95</v>
          </cell>
          <cell r="D696" t="str">
            <v>C¸i</v>
          </cell>
          <cell r="E696">
            <v>1</v>
          </cell>
          <cell r="F696">
            <v>0.4</v>
          </cell>
          <cell r="G696">
            <v>95500</v>
          </cell>
        </row>
        <row r="697">
          <cell r="B697" t="str">
            <v>§CM-A-120/70</v>
          </cell>
          <cell r="C697" t="str">
            <v>§Çu cèt ®ång nh«m §CM-A-120/70</v>
          </cell>
          <cell r="D697" t="str">
            <v>C¸i</v>
          </cell>
          <cell r="E697">
            <v>1</v>
          </cell>
          <cell r="F697">
            <v>0.4</v>
          </cell>
          <cell r="G697">
            <v>95500</v>
          </cell>
        </row>
        <row r="698">
          <cell r="B698" t="str">
            <v>§CM-A-120/50</v>
          </cell>
          <cell r="C698" t="str">
            <v>§Çu cèt ®ång nh«m §CM-A-120/50</v>
          </cell>
          <cell r="D698" t="str">
            <v>C¸i</v>
          </cell>
          <cell r="E698">
            <v>1</v>
          </cell>
          <cell r="F698">
            <v>0.4</v>
          </cell>
          <cell r="G698">
            <v>95500</v>
          </cell>
        </row>
        <row r="699">
          <cell r="B699" t="str">
            <v>§CM-A-95</v>
          </cell>
          <cell r="C699" t="str">
            <v>§Çu cèt ®ång nh«m §CM-A-95</v>
          </cell>
          <cell r="D699" t="str">
            <v>C¸i</v>
          </cell>
          <cell r="E699">
            <v>1</v>
          </cell>
          <cell r="F699">
            <v>0.4</v>
          </cell>
          <cell r="G699">
            <v>87600</v>
          </cell>
        </row>
        <row r="700">
          <cell r="B700" t="str">
            <v>§CM-A-95/70</v>
          </cell>
          <cell r="C700" t="str">
            <v>§Çu cèt ®ång nh«m §CM-A-95/70</v>
          </cell>
          <cell r="D700" t="str">
            <v>C¸i</v>
          </cell>
          <cell r="E700">
            <v>1</v>
          </cell>
          <cell r="F700">
            <v>0.4</v>
          </cell>
          <cell r="G700">
            <v>87600</v>
          </cell>
        </row>
        <row r="701">
          <cell r="B701" t="str">
            <v>§CM-A-95/50</v>
          </cell>
          <cell r="C701" t="str">
            <v>§Çu cèt ®ång nh«m §CM-A-95/50</v>
          </cell>
          <cell r="D701" t="str">
            <v>C¸i</v>
          </cell>
          <cell r="E701">
            <v>1</v>
          </cell>
          <cell r="F701">
            <v>0.4</v>
          </cell>
          <cell r="G701">
            <v>87600</v>
          </cell>
        </row>
        <row r="702">
          <cell r="B702" t="str">
            <v>§CM-A-70</v>
          </cell>
          <cell r="C702" t="str">
            <v>§Çu cèt ®ång nh«m §CM-A-70</v>
          </cell>
          <cell r="D702" t="str">
            <v>C¸i</v>
          </cell>
          <cell r="E702">
            <v>1</v>
          </cell>
          <cell r="F702">
            <v>0.4</v>
          </cell>
          <cell r="G702">
            <v>78500</v>
          </cell>
        </row>
        <row r="703">
          <cell r="B703" t="str">
            <v>§CM-A-70/50</v>
          </cell>
          <cell r="C703" t="str">
            <v>§Çu cèt ®ång nh«m §CM-A-70/50</v>
          </cell>
          <cell r="D703" t="str">
            <v>C¸i</v>
          </cell>
          <cell r="E703">
            <v>1</v>
          </cell>
          <cell r="F703">
            <v>0.4</v>
          </cell>
          <cell r="G703">
            <v>78500</v>
          </cell>
        </row>
        <row r="704">
          <cell r="B704" t="str">
            <v>§CM-A-50</v>
          </cell>
          <cell r="C704" t="str">
            <v>§Çu cèt ®ång nh«m §CM-A-50</v>
          </cell>
          <cell r="D704" t="str">
            <v>C¸i</v>
          </cell>
          <cell r="E704">
            <v>1</v>
          </cell>
          <cell r="F704">
            <v>0.4</v>
          </cell>
          <cell r="G704">
            <v>67500</v>
          </cell>
        </row>
        <row r="705">
          <cell r="B705" t="str">
            <v>§CM-A-185/240</v>
          </cell>
          <cell r="C705" t="str">
            <v>§Çu cèt ®ång nh«m §CM-A-185/240</v>
          </cell>
          <cell r="D705" t="str">
            <v>C¸i</v>
          </cell>
          <cell r="E705">
            <v>1</v>
          </cell>
          <cell r="F705">
            <v>0.4</v>
          </cell>
          <cell r="G705">
            <v>135700</v>
          </cell>
        </row>
        <row r="706">
          <cell r="B706" t="str">
            <v>§CM-A-150/240</v>
          </cell>
          <cell r="C706" t="str">
            <v>§Çu cèt ®ång nh«m §CM-A-150/240</v>
          </cell>
          <cell r="D706" t="str">
            <v>C¸i</v>
          </cell>
          <cell r="E706">
            <v>1</v>
          </cell>
          <cell r="F706">
            <v>0.4</v>
          </cell>
          <cell r="G706">
            <v>135700</v>
          </cell>
        </row>
        <row r="707">
          <cell r="B707" t="str">
            <v>§CM-A-120/240</v>
          </cell>
          <cell r="C707" t="str">
            <v>§Çu cèt ®ång nh«m §CM-A-120/240</v>
          </cell>
          <cell r="D707" t="str">
            <v>C¸i</v>
          </cell>
          <cell r="E707">
            <v>1</v>
          </cell>
          <cell r="F707">
            <v>0.4</v>
          </cell>
          <cell r="G707">
            <v>135700</v>
          </cell>
        </row>
        <row r="708">
          <cell r="B708" t="str">
            <v>§CM-A-95/240</v>
          </cell>
          <cell r="C708" t="str">
            <v>§Çu cèt ®ång nh«m §CM-A-95/240</v>
          </cell>
          <cell r="D708" t="str">
            <v>C¸i</v>
          </cell>
          <cell r="E708">
            <v>1</v>
          </cell>
          <cell r="F708">
            <v>0.4</v>
          </cell>
          <cell r="G708">
            <v>135700</v>
          </cell>
        </row>
        <row r="709">
          <cell r="B709" t="str">
            <v>§CM-A-70/240</v>
          </cell>
          <cell r="C709" t="str">
            <v>§Çu cèt ®ång nh«m §CM-A-70/240</v>
          </cell>
          <cell r="D709" t="str">
            <v>C¸i</v>
          </cell>
          <cell r="E709">
            <v>1</v>
          </cell>
          <cell r="F709">
            <v>0.4</v>
          </cell>
          <cell r="G709">
            <v>135700</v>
          </cell>
        </row>
        <row r="710">
          <cell r="B710" t="str">
            <v>§CM-A-50/240</v>
          </cell>
          <cell r="C710" t="str">
            <v>§Çu cèt ®ång nh«m §CM-A-50/240</v>
          </cell>
          <cell r="D710" t="str">
            <v>C¸i</v>
          </cell>
          <cell r="E710">
            <v>1</v>
          </cell>
          <cell r="F710">
            <v>0.4</v>
          </cell>
          <cell r="G710">
            <v>135700</v>
          </cell>
        </row>
        <row r="711">
          <cell r="B711" t="str">
            <v>§CM-A-150/185</v>
          </cell>
          <cell r="C711" t="str">
            <v>§Çu cèt ®ång nh«m §CM-A-150/185</v>
          </cell>
          <cell r="D711" t="str">
            <v>C¸i</v>
          </cell>
          <cell r="E711">
            <v>1</v>
          </cell>
          <cell r="F711">
            <v>0.4</v>
          </cell>
          <cell r="G711">
            <v>125700</v>
          </cell>
        </row>
        <row r="712">
          <cell r="B712" t="str">
            <v>§CM-A-120/185</v>
          </cell>
          <cell r="C712" t="str">
            <v>§Çu cèt ®ång nh«m §CM-A-120/185</v>
          </cell>
          <cell r="D712" t="str">
            <v>C¸i</v>
          </cell>
          <cell r="E712">
            <v>1</v>
          </cell>
          <cell r="F712">
            <v>0.4</v>
          </cell>
          <cell r="G712">
            <v>125700</v>
          </cell>
        </row>
        <row r="713">
          <cell r="B713" t="str">
            <v>§CM-A-95/185</v>
          </cell>
          <cell r="C713" t="str">
            <v>§Çu cèt ®ång nh«m §CM-A-95/185</v>
          </cell>
          <cell r="D713" t="str">
            <v>C¸i</v>
          </cell>
          <cell r="E713">
            <v>1</v>
          </cell>
          <cell r="F713">
            <v>0.4</v>
          </cell>
          <cell r="G713">
            <v>125700</v>
          </cell>
        </row>
        <row r="714">
          <cell r="B714" t="str">
            <v>§CM-A-70/185</v>
          </cell>
          <cell r="C714" t="str">
            <v>§Çu cèt ®ång nh«m §CM-A-70/185</v>
          </cell>
          <cell r="D714" t="str">
            <v>C¸i</v>
          </cell>
          <cell r="E714">
            <v>1</v>
          </cell>
          <cell r="F714">
            <v>0.4</v>
          </cell>
          <cell r="G714">
            <v>125700</v>
          </cell>
        </row>
        <row r="715">
          <cell r="B715" t="str">
            <v>§CM-A-50/185</v>
          </cell>
          <cell r="C715" t="str">
            <v>§Çu cèt ®ång nh«m §CM-A-50/185</v>
          </cell>
          <cell r="D715" t="str">
            <v>C¸i</v>
          </cell>
          <cell r="E715">
            <v>1</v>
          </cell>
          <cell r="F715">
            <v>0.4</v>
          </cell>
          <cell r="G715">
            <v>125700</v>
          </cell>
        </row>
        <row r="716">
          <cell r="B716" t="str">
            <v>§CM-A-120/150</v>
          </cell>
          <cell r="C716" t="str">
            <v>§Çu cèt ®ång nh«m §CM-A-120/150</v>
          </cell>
          <cell r="D716" t="str">
            <v>C¸i</v>
          </cell>
          <cell r="E716">
            <v>1</v>
          </cell>
          <cell r="F716">
            <v>0.4</v>
          </cell>
          <cell r="G716">
            <v>109600</v>
          </cell>
        </row>
        <row r="717">
          <cell r="B717" t="str">
            <v>§CM-A-95/150</v>
          </cell>
          <cell r="C717" t="str">
            <v>§Çu cèt ®ång nh«m §CM-A-95/150</v>
          </cell>
          <cell r="D717" t="str">
            <v>C¸i</v>
          </cell>
          <cell r="E717">
            <v>1</v>
          </cell>
          <cell r="F717">
            <v>0.4</v>
          </cell>
          <cell r="G717">
            <v>109600</v>
          </cell>
        </row>
        <row r="718">
          <cell r="B718" t="str">
            <v>§CM-A-70/150</v>
          </cell>
          <cell r="C718" t="str">
            <v>§Çu cèt ®ång nh«m §CM-A-70/150</v>
          </cell>
          <cell r="D718" t="str">
            <v>C¸i</v>
          </cell>
          <cell r="E718">
            <v>1</v>
          </cell>
          <cell r="F718">
            <v>0.4</v>
          </cell>
          <cell r="G718">
            <v>109600</v>
          </cell>
        </row>
        <row r="719">
          <cell r="B719" t="str">
            <v>§CM-A-50/150</v>
          </cell>
          <cell r="C719" t="str">
            <v>§Çu cèt ®ång nh«m §CM-A-50/150</v>
          </cell>
          <cell r="D719" t="str">
            <v>C¸i</v>
          </cell>
          <cell r="E719">
            <v>1</v>
          </cell>
          <cell r="F719">
            <v>0.4</v>
          </cell>
          <cell r="G719">
            <v>109600</v>
          </cell>
        </row>
        <row r="720">
          <cell r="B720" t="str">
            <v>§CM-A-95/120</v>
          </cell>
          <cell r="C720" t="str">
            <v>§Çu cèt ®ång nh«m §CM-A-95/120</v>
          </cell>
          <cell r="D720" t="str">
            <v>C¸i</v>
          </cell>
          <cell r="E720">
            <v>1</v>
          </cell>
          <cell r="F720">
            <v>0.4</v>
          </cell>
          <cell r="G720">
            <v>95500</v>
          </cell>
        </row>
        <row r="721">
          <cell r="B721" t="str">
            <v>§CM-A-70/120</v>
          </cell>
          <cell r="C721" t="str">
            <v>§Çu cèt ®ång nh«m §CM-A-70/120</v>
          </cell>
          <cell r="D721" t="str">
            <v>C¸i</v>
          </cell>
          <cell r="E721">
            <v>1</v>
          </cell>
          <cell r="F721">
            <v>0.4</v>
          </cell>
          <cell r="G721">
            <v>95500</v>
          </cell>
        </row>
        <row r="722">
          <cell r="B722" t="str">
            <v>§CM-A-50/120</v>
          </cell>
          <cell r="C722" t="str">
            <v>§Çu cèt ®ång nh«m §CM-A-50/120</v>
          </cell>
          <cell r="D722" t="str">
            <v>C¸i</v>
          </cell>
          <cell r="E722">
            <v>1</v>
          </cell>
          <cell r="F722">
            <v>0.4</v>
          </cell>
          <cell r="G722">
            <v>95500</v>
          </cell>
        </row>
        <row r="723">
          <cell r="B723" t="str">
            <v>§CM-A-70/95</v>
          </cell>
          <cell r="C723" t="str">
            <v>§Çu cèt ®ång nh«m §CM-A-70/95</v>
          </cell>
          <cell r="D723" t="str">
            <v>C¸i</v>
          </cell>
          <cell r="E723">
            <v>1</v>
          </cell>
          <cell r="F723">
            <v>0.4</v>
          </cell>
          <cell r="G723">
            <v>87600</v>
          </cell>
        </row>
        <row r="724">
          <cell r="B724" t="str">
            <v>§CM-A-50/95</v>
          </cell>
          <cell r="C724" t="str">
            <v>§Çu cèt ®ång nh«m §CM-A-50/95</v>
          </cell>
          <cell r="D724" t="str">
            <v>C¸i</v>
          </cell>
          <cell r="E724">
            <v>1</v>
          </cell>
          <cell r="F724">
            <v>0.4</v>
          </cell>
          <cell r="G724">
            <v>87600</v>
          </cell>
        </row>
        <row r="725">
          <cell r="B725" t="str">
            <v>§CM-A-50/70</v>
          </cell>
          <cell r="C725" t="str">
            <v>§Çu cèt ®ång nh«m §CM-A-50/70</v>
          </cell>
          <cell r="D725" t="str">
            <v>C¸i</v>
          </cell>
          <cell r="E725">
            <v>1</v>
          </cell>
          <cell r="F725">
            <v>0.4</v>
          </cell>
          <cell r="G725">
            <v>78500</v>
          </cell>
        </row>
        <row r="726">
          <cell r="B726" t="str">
            <v>§CA-M-50/240</v>
          </cell>
          <cell r="C726" t="str">
            <v>§Çu cèt ®ång</v>
          </cell>
          <cell r="D726" t="str">
            <v>C¸i</v>
          </cell>
          <cell r="E726">
            <v>1</v>
          </cell>
          <cell r="F726">
            <v>0.4</v>
          </cell>
          <cell r="G726">
            <v>135700</v>
          </cell>
        </row>
        <row r="727">
          <cell r="B727" t="str">
            <v>§C-M300</v>
          </cell>
          <cell r="C727" t="str">
            <v>§Çu cèt ®ång  §C-M300</v>
          </cell>
          <cell r="D727" t="str">
            <v>C¸i</v>
          </cell>
          <cell r="E727">
            <v>1</v>
          </cell>
          <cell r="F727">
            <v>0.35</v>
          </cell>
          <cell r="G727">
            <v>121000</v>
          </cell>
        </row>
        <row r="728">
          <cell r="B728" t="str">
            <v>§C-M240</v>
          </cell>
          <cell r="C728" t="str">
            <v>§Çu cèt ®ång  §C-M240</v>
          </cell>
          <cell r="D728" t="str">
            <v>C¸i</v>
          </cell>
          <cell r="E728">
            <v>1</v>
          </cell>
          <cell r="F728">
            <v>0.35</v>
          </cell>
          <cell r="G728">
            <v>101000</v>
          </cell>
        </row>
        <row r="729">
          <cell r="B729" t="str">
            <v>§C-M185</v>
          </cell>
          <cell r="C729" t="str">
            <v>§Çu cèt ®ång  §C-M185</v>
          </cell>
          <cell r="D729" t="str">
            <v>C¸i</v>
          </cell>
          <cell r="E729">
            <v>1</v>
          </cell>
          <cell r="F729">
            <v>0.35</v>
          </cell>
          <cell r="G729">
            <v>93000</v>
          </cell>
        </row>
        <row r="730">
          <cell r="B730" t="str">
            <v>§C-M150</v>
          </cell>
          <cell r="C730" t="str">
            <v>§Çu cèt ®ång  §C-M150</v>
          </cell>
          <cell r="D730" t="str">
            <v>C¸i</v>
          </cell>
          <cell r="E730">
            <v>1</v>
          </cell>
          <cell r="F730">
            <v>0.35</v>
          </cell>
          <cell r="G730">
            <v>78000</v>
          </cell>
        </row>
        <row r="731">
          <cell r="B731" t="str">
            <v>§C-M120</v>
          </cell>
          <cell r="C731" t="str">
            <v>§Çu cèt ®ång  §C-M120</v>
          </cell>
          <cell r="D731" t="str">
            <v>C¸i</v>
          </cell>
          <cell r="E731">
            <v>1</v>
          </cell>
          <cell r="F731">
            <v>0.35</v>
          </cell>
          <cell r="G731">
            <v>45000</v>
          </cell>
        </row>
        <row r="732">
          <cell r="B732" t="str">
            <v>§C-M95</v>
          </cell>
          <cell r="C732" t="str">
            <v>§Çu cèt ®ång  §C-M95</v>
          </cell>
          <cell r="D732" t="str">
            <v>C¸i</v>
          </cell>
          <cell r="E732">
            <v>1</v>
          </cell>
          <cell r="F732">
            <v>0.35</v>
          </cell>
          <cell r="G732">
            <v>31500</v>
          </cell>
        </row>
        <row r="733">
          <cell r="B733" t="str">
            <v>§C-M70</v>
          </cell>
          <cell r="C733" t="str">
            <v>§Çu cèt ®ång  §C-M70</v>
          </cell>
          <cell r="D733" t="str">
            <v>C¸i</v>
          </cell>
          <cell r="E733">
            <v>1</v>
          </cell>
          <cell r="F733">
            <v>0.35</v>
          </cell>
          <cell r="G733">
            <v>25000</v>
          </cell>
        </row>
        <row r="734">
          <cell r="B734" t="str">
            <v>§C-M50</v>
          </cell>
          <cell r="C734" t="str">
            <v>§Çu cèt ®ång  §C-M50</v>
          </cell>
          <cell r="D734" t="str">
            <v>C¸i</v>
          </cell>
          <cell r="E734">
            <v>1</v>
          </cell>
          <cell r="F734">
            <v>0.35</v>
          </cell>
          <cell r="G734">
            <v>22500</v>
          </cell>
        </row>
        <row r="735">
          <cell r="B735" t="str">
            <v>§C-M38</v>
          </cell>
          <cell r="C735" t="str">
            <v>§Çu cèt ®ång  §C-M50</v>
          </cell>
          <cell r="D735" t="str">
            <v>C¸i</v>
          </cell>
          <cell r="E735">
            <v>1</v>
          </cell>
          <cell r="F735">
            <v>0.35</v>
          </cell>
          <cell r="G735">
            <v>15000</v>
          </cell>
        </row>
        <row r="736">
          <cell r="B736" t="str">
            <v>§C-M35</v>
          </cell>
          <cell r="C736" t="str">
            <v>§Çu cèt ®ång  §C-M50</v>
          </cell>
          <cell r="D736" t="str">
            <v>C¸i</v>
          </cell>
          <cell r="E736">
            <v>1</v>
          </cell>
          <cell r="F736">
            <v>0.35</v>
          </cell>
          <cell r="G736">
            <v>15000</v>
          </cell>
        </row>
        <row r="737">
          <cell r="B737" t="str">
            <v>§C-M25</v>
          </cell>
          <cell r="C737" t="str">
            <v>§Çu cèt ®ång  §C-M50</v>
          </cell>
          <cell r="D737" t="str">
            <v>C¸i</v>
          </cell>
          <cell r="E737">
            <v>1</v>
          </cell>
          <cell r="F737">
            <v>0.35</v>
          </cell>
          <cell r="G737">
            <v>13100</v>
          </cell>
        </row>
        <row r="738">
          <cell r="B738" t="str">
            <v>§C-M22</v>
          </cell>
          <cell r="C738" t="str">
            <v>§Çu cèt ®ång  §C-M50</v>
          </cell>
          <cell r="D738" t="str">
            <v>C¸i</v>
          </cell>
          <cell r="E738">
            <v>1</v>
          </cell>
          <cell r="F738">
            <v>0.35</v>
          </cell>
          <cell r="G738">
            <v>13100</v>
          </cell>
        </row>
        <row r="739">
          <cell r="B739" t="str">
            <v>§C-M.300</v>
          </cell>
          <cell r="C739" t="str">
            <v>§Çu cèt ®ång  §C-M.300</v>
          </cell>
          <cell r="D739" t="str">
            <v>C¸i</v>
          </cell>
          <cell r="E739">
            <v>1</v>
          </cell>
          <cell r="F739">
            <v>0.35</v>
          </cell>
          <cell r="G739">
            <v>121000</v>
          </cell>
        </row>
        <row r="740">
          <cell r="B740" t="str">
            <v>§C-M.240</v>
          </cell>
          <cell r="C740" t="str">
            <v>§Çu cèt ®ång  §C-M.240</v>
          </cell>
          <cell r="D740" t="str">
            <v>C¸i</v>
          </cell>
          <cell r="E740">
            <v>1</v>
          </cell>
          <cell r="F740">
            <v>0.35</v>
          </cell>
          <cell r="G740">
            <v>101000</v>
          </cell>
        </row>
        <row r="741">
          <cell r="B741" t="str">
            <v>§C-M.185</v>
          </cell>
          <cell r="C741" t="str">
            <v>§Çu cèt ®ång  §C-M.185</v>
          </cell>
          <cell r="D741" t="str">
            <v>C¸i</v>
          </cell>
          <cell r="E741">
            <v>1</v>
          </cell>
          <cell r="F741">
            <v>0.35</v>
          </cell>
          <cell r="G741">
            <v>93000</v>
          </cell>
        </row>
        <row r="742">
          <cell r="B742" t="str">
            <v>§C-M.150</v>
          </cell>
          <cell r="C742" t="str">
            <v>§Çu cèt ®ång  §C-M.150</v>
          </cell>
          <cell r="D742" t="str">
            <v>C¸i</v>
          </cell>
          <cell r="E742">
            <v>1</v>
          </cell>
          <cell r="F742">
            <v>0.35</v>
          </cell>
          <cell r="G742">
            <v>78000</v>
          </cell>
        </row>
        <row r="743">
          <cell r="B743" t="str">
            <v>§C-M.120</v>
          </cell>
          <cell r="C743" t="str">
            <v>§Çu cèt ®ång  §C-M.120</v>
          </cell>
          <cell r="D743" t="str">
            <v>C¸i</v>
          </cell>
          <cell r="E743">
            <v>1</v>
          </cell>
          <cell r="F743">
            <v>0.35</v>
          </cell>
          <cell r="G743">
            <v>45000</v>
          </cell>
        </row>
        <row r="744">
          <cell r="B744" t="str">
            <v>§C-M.95</v>
          </cell>
          <cell r="C744" t="str">
            <v>§Çu cèt ®ång  §C-M.95</v>
          </cell>
          <cell r="D744" t="str">
            <v>C¸i</v>
          </cell>
          <cell r="E744">
            <v>1</v>
          </cell>
          <cell r="F744">
            <v>0.35</v>
          </cell>
          <cell r="G744">
            <v>31500</v>
          </cell>
        </row>
        <row r="745">
          <cell r="B745" t="str">
            <v>§C-M.70</v>
          </cell>
          <cell r="C745" t="str">
            <v>§Çu cèt ®ång  §C-M.70</v>
          </cell>
          <cell r="D745" t="str">
            <v>C¸i</v>
          </cell>
          <cell r="E745">
            <v>1</v>
          </cell>
          <cell r="F745">
            <v>0.35</v>
          </cell>
          <cell r="G745">
            <v>25000</v>
          </cell>
        </row>
        <row r="746">
          <cell r="B746" t="str">
            <v>§C-M.50</v>
          </cell>
          <cell r="C746" t="str">
            <v>§Çu cèt ®ång  §C-M.50</v>
          </cell>
          <cell r="D746" t="str">
            <v>C¸i</v>
          </cell>
          <cell r="E746">
            <v>1</v>
          </cell>
          <cell r="F746">
            <v>0.35</v>
          </cell>
          <cell r="G746">
            <v>22500</v>
          </cell>
        </row>
        <row r="747">
          <cell r="B747" t="str">
            <v>§C-M.38</v>
          </cell>
          <cell r="C747" t="str">
            <v>§Çu cèt ®ång  §C-M.38</v>
          </cell>
          <cell r="D747" t="str">
            <v>C¸i</v>
          </cell>
          <cell r="E747">
            <v>1</v>
          </cell>
          <cell r="F747">
            <v>0.35</v>
          </cell>
          <cell r="G747">
            <v>15000</v>
          </cell>
        </row>
        <row r="748">
          <cell r="B748" t="str">
            <v>§C-M.35</v>
          </cell>
          <cell r="C748" t="str">
            <v>§Çu cèt ®ång  §C-M.35</v>
          </cell>
          <cell r="D748" t="str">
            <v>C¸i</v>
          </cell>
          <cell r="E748">
            <v>1</v>
          </cell>
          <cell r="F748">
            <v>0.35</v>
          </cell>
          <cell r="G748">
            <v>15000</v>
          </cell>
        </row>
        <row r="749">
          <cell r="B749" t="str">
            <v>§C-M.25</v>
          </cell>
          <cell r="C749" t="str">
            <v>§Çu cèt ®ång  §C-M.25</v>
          </cell>
          <cell r="D749" t="str">
            <v>C¸i</v>
          </cell>
          <cell r="E749">
            <v>1</v>
          </cell>
          <cell r="F749">
            <v>0.35</v>
          </cell>
          <cell r="G749">
            <v>13100</v>
          </cell>
        </row>
        <row r="750">
          <cell r="B750" t="str">
            <v>§C-M.22</v>
          </cell>
          <cell r="C750" t="str">
            <v>§Çu cèt ®ång  §C-M.22</v>
          </cell>
          <cell r="D750" t="str">
            <v>C¸i</v>
          </cell>
          <cell r="E750">
            <v>1</v>
          </cell>
          <cell r="F750">
            <v>0.35</v>
          </cell>
          <cell r="G750">
            <v>13100</v>
          </cell>
        </row>
        <row r="751">
          <cell r="B751" t="str">
            <v>§C-M</v>
          </cell>
          <cell r="C751" t="str">
            <v>§Çu cèt ®ång  c¸c lo¹i</v>
          </cell>
          <cell r="D751" t="str">
            <v>C¸i</v>
          </cell>
          <cell r="E751">
            <v>1</v>
          </cell>
          <cell r="F751">
            <v>0.35</v>
          </cell>
          <cell r="G751">
            <v>17500</v>
          </cell>
        </row>
        <row r="752">
          <cell r="B752" t="str">
            <v>§CM-A-185/95</v>
          </cell>
          <cell r="C752" t="str">
            <v>RÏ nh¸nh</v>
          </cell>
          <cell r="D752" t="str">
            <v>C¸i</v>
          </cell>
          <cell r="E752">
            <v>1</v>
          </cell>
          <cell r="F752">
            <v>0.4</v>
          </cell>
          <cell r="G752">
            <v>125700</v>
          </cell>
        </row>
        <row r="753">
          <cell r="B753" t="str">
            <v>C§R-240</v>
          </cell>
          <cell r="C753" t="str">
            <v>Côm ®Êu rÏ nh¸nh   C§R-240</v>
          </cell>
          <cell r="D753" t="str">
            <v>C¸i</v>
          </cell>
          <cell r="E753">
            <v>1</v>
          </cell>
          <cell r="F753">
            <v>0.45</v>
          </cell>
          <cell r="G753">
            <v>780000</v>
          </cell>
        </row>
        <row r="754">
          <cell r="B754" t="str">
            <v>C§R-185</v>
          </cell>
          <cell r="C754" t="str">
            <v>Côm ®Êu rÏ nh¸nh   C§R-185</v>
          </cell>
          <cell r="D754" t="str">
            <v>C¸i</v>
          </cell>
          <cell r="E754">
            <v>1</v>
          </cell>
          <cell r="F754">
            <v>0.45</v>
          </cell>
          <cell r="G754">
            <v>780000</v>
          </cell>
        </row>
        <row r="755">
          <cell r="B755" t="str">
            <v>C§R-150</v>
          </cell>
          <cell r="C755" t="str">
            <v>Côm ®Êu rÏ nh¸nh   C§R-150</v>
          </cell>
          <cell r="D755" t="str">
            <v>C¸i</v>
          </cell>
          <cell r="E755">
            <v>1</v>
          </cell>
          <cell r="F755">
            <v>0.45</v>
          </cell>
          <cell r="G755">
            <v>780000</v>
          </cell>
        </row>
        <row r="756">
          <cell r="B756" t="str">
            <v>C§R-120</v>
          </cell>
          <cell r="C756" t="str">
            <v>Côm ®Êu rÏ nh¸nh   C§R-120</v>
          </cell>
          <cell r="D756" t="str">
            <v>C¸i</v>
          </cell>
          <cell r="E756">
            <v>1</v>
          </cell>
          <cell r="F756">
            <v>0.45</v>
          </cell>
          <cell r="G756">
            <v>780000</v>
          </cell>
        </row>
        <row r="757">
          <cell r="B757" t="str">
            <v>C§R-95</v>
          </cell>
          <cell r="C757" t="str">
            <v>Côm ®Êu rÏ nh¸nh   C§R-95</v>
          </cell>
          <cell r="D757" t="str">
            <v>C¸i</v>
          </cell>
          <cell r="E757">
            <v>1</v>
          </cell>
          <cell r="F757">
            <v>0.45</v>
          </cell>
          <cell r="G757">
            <v>780000</v>
          </cell>
        </row>
        <row r="758">
          <cell r="B758" t="str">
            <v>C§R-70</v>
          </cell>
          <cell r="C758" t="str">
            <v>Côm ®Êu rÏ nh¸nh   C§R-70</v>
          </cell>
          <cell r="D758" t="str">
            <v>C¸i</v>
          </cell>
          <cell r="E758">
            <v>1</v>
          </cell>
          <cell r="F758">
            <v>0.45</v>
          </cell>
          <cell r="G758">
            <v>780000</v>
          </cell>
        </row>
        <row r="759">
          <cell r="B759" t="str">
            <v>C§R-50</v>
          </cell>
          <cell r="C759" t="str">
            <v>Côm ®Êu rÏ nh¸nh   C§R-50</v>
          </cell>
          <cell r="D759" t="str">
            <v>C¸i</v>
          </cell>
          <cell r="E759">
            <v>1</v>
          </cell>
          <cell r="F759">
            <v>0.45</v>
          </cell>
          <cell r="G759">
            <v>780000</v>
          </cell>
        </row>
        <row r="760">
          <cell r="B760" t="str">
            <v>C§R-38</v>
          </cell>
          <cell r="C760" t="str">
            <v>Côm ®Êu rÏ nh¸nh   C§R-38</v>
          </cell>
          <cell r="D760" t="str">
            <v>C¸i</v>
          </cell>
          <cell r="E760">
            <v>1</v>
          </cell>
          <cell r="F760">
            <v>0.45</v>
          </cell>
          <cell r="G760">
            <v>780000</v>
          </cell>
        </row>
        <row r="761">
          <cell r="B761" t="str">
            <v>K§R-240</v>
          </cell>
          <cell r="C761" t="str">
            <v>KÑp ®Êu rÏ nh¸nh   K§R-240</v>
          </cell>
          <cell r="D761" t="str">
            <v>C¸i</v>
          </cell>
          <cell r="E761">
            <v>1</v>
          </cell>
          <cell r="F761">
            <v>0.45</v>
          </cell>
          <cell r="G761">
            <v>390000</v>
          </cell>
        </row>
        <row r="762">
          <cell r="B762" t="str">
            <v>K§R-185</v>
          </cell>
          <cell r="C762" t="str">
            <v>KÑp ®Êu rÏ nh¸nh   K§R-185</v>
          </cell>
          <cell r="D762" t="str">
            <v>C¸i</v>
          </cell>
          <cell r="E762">
            <v>1</v>
          </cell>
          <cell r="F762">
            <v>0.45</v>
          </cell>
          <cell r="G762">
            <v>390000</v>
          </cell>
        </row>
        <row r="763">
          <cell r="B763" t="str">
            <v>K§R-150</v>
          </cell>
          <cell r="C763" t="str">
            <v>KÑp ®Êu rÏ nh¸nh   K§R-150</v>
          </cell>
          <cell r="D763" t="str">
            <v>C¸i</v>
          </cell>
          <cell r="E763">
            <v>1</v>
          </cell>
          <cell r="F763">
            <v>0.45</v>
          </cell>
          <cell r="G763">
            <v>390000</v>
          </cell>
        </row>
        <row r="764">
          <cell r="B764" t="str">
            <v>K§R-120</v>
          </cell>
          <cell r="C764" t="str">
            <v>KÑp ®Êu rÏ nh¸nh   K§R-120</v>
          </cell>
          <cell r="D764" t="str">
            <v>C¸i</v>
          </cell>
          <cell r="E764">
            <v>1</v>
          </cell>
          <cell r="F764">
            <v>0.45</v>
          </cell>
          <cell r="G764">
            <v>390000</v>
          </cell>
        </row>
        <row r="765">
          <cell r="B765" t="str">
            <v>K§R-95</v>
          </cell>
          <cell r="C765" t="str">
            <v>KÑp ®Êu rÏ nh¸nh   K§R-95</v>
          </cell>
          <cell r="D765" t="str">
            <v>C¸i</v>
          </cell>
          <cell r="E765">
            <v>1</v>
          </cell>
          <cell r="F765">
            <v>0.45</v>
          </cell>
          <cell r="G765">
            <v>390000</v>
          </cell>
        </row>
        <row r="766">
          <cell r="B766" t="str">
            <v>K§R-70</v>
          </cell>
          <cell r="C766" t="str">
            <v>KÑp ®Êu rÏ nh¸nh   K§R-70</v>
          </cell>
          <cell r="D766" t="str">
            <v>C¸i</v>
          </cell>
          <cell r="E766">
            <v>1</v>
          </cell>
          <cell r="F766">
            <v>0.45</v>
          </cell>
          <cell r="G766">
            <v>390000</v>
          </cell>
        </row>
        <row r="767">
          <cell r="B767" t="str">
            <v>K§R-50</v>
          </cell>
          <cell r="C767" t="str">
            <v>KÑp ®Êu rÏ nh¸nh   K§R-50</v>
          </cell>
          <cell r="D767" t="str">
            <v>C¸i</v>
          </cell>
          <cell r="E767">
            <v>1</v>
          </cell>
          <cell r="F767">
            <v>0.45</v>
          </cell>
          <cell r="G767">
            <v>390000</v>
          </cell>
        </row>
        <row r="768">
          <cell r="B768" t="str">
            <v>K§R-38</v>
          </cell>
          <cell r="C768" t="str">
            <v>KÑp ®Êu rÏ nh¸nh   K§R-38</v>
          </cell>
          <cell r="D768" t="str">
            <v>C¸i</v>
          </cell>
          <cell r="E768">
            <v>1</v>
          </cell>
          <cell r="F768">
            <v>0.45</v>
          </cell>
          <cell r="G768">
            <v>390000</v>
          </cell>
        </row>
        <row r="769">
          <cell r="B769" t="str">
            <v>KRDB-240</v>
          </cell>
          <cell r="C769" t="str">
            <v>KÑp ®Êu rÏ nh¸nh   K§R-240</v>
          </cell>
          <cell r="D769" t="str">
            <v>C¸i</v>
          </cell>
          <cell r="E769">
            <v>1</v>
          </cell>
          <cell r="F769">
            <v>0.45</v>
          </cell>
          <cell r="G769">
            <v>390000</v>
          </cell>
        </row>
        <row r="770">
          <cell r="B770" t="str">
            <v>KRDB-185</v>
          </cell>
          <cell r="C770" t="str">
            <v>KÑp ®Êu rÏ nh¸nh   K§R-185</v>
          </cell>
          <cell r="D770" t="str">
            <v>C¸i</v>
          </cell>
          <cell r="E770">
            <v>1</v>
          </cell>
          <cell r="F770">
            <v>0.45</v>
          </cell>
          <cell r="G770">
            <v>390000</v>
          </cell>
        </row>
        <row r="771">
          <cell r="B771" t="str">
            <v>KRDB-150</v>
          </cell>
          <cell r="C771" t="str">
            <v>KÑp ®Êu rÏ nh¸nh   K§R-150</v>
          </cell>
          <cell r="D771" t="str">
            <v>C¸i</v>
          </cell>
          <cell r="E771">
            <v>1</v>
          </cell>
          <cell r="F771">
            <v>0.45</v>
          </cell>
          <cell r="G771">
            <v>390000</v>
          </cell>
        </row>
        <row r="772">
          <cell r="B772" t="str">
            <v>KRDB-120</v>
          </cell>
          <cell r="C772" t="str">
            <v>KÑp ®Êu rÏ nh¸nh   K§R-120</v>
          </cell>
          <cell r="D772" t="str">
            <v>C¸i</v>
          </cell>
          <cell r="E772">
            <v>1</v>
          </cell>
          <cell r="F772">
            <v>0.45</v>
          </cell>
          <cell r="G772">
            <v>390000</v>
          </cell>
        </row>
        <row r="773">
          <cell r="B773" t="str">
            <v>KRDB-95</v>
          </cell>
          <cell r="C773" t="str">
            <v>KÑp ®Êu rÏ nh¸nh   K§R-95</v>
          </cell>
          <cell r="D773" t="str">
            <v>C¸i</v>
          </cell>
          <cell r="E773">
            <v>1</v>
          </cell>
          <cell r="F773">
            <v>0.45</v>
          </cell>
          <cell r="G773">
            <v>390000</v>
          </cell>
        </row>
        <row r="774">
          <cell r="B774" t="str">
            <v>KRDB-70</v>
          </cell>
          <cell r="C774" t="str">
            <v>KÑp ®Êu rÏ nh¸nh   K§R-70</v>
          </cell>
          <cell r="D774" t="str">
            <v>C¸i</v>
          </cell>
          <cell r="E774">
            <v>1</v>
          </cell>
          <cell r="F774">
            <v>0.45</v>
          </cell>
          <cell r="G774">
            <v>390000</v>
          </cell>
        </row>
        <row r="775">
          <cell r="B775" t="str">
            <v>KRDB-50</v>
          </cell>
          <cell r="C775" t="str">
            <v>KÑp ®Êu rÏ nh¸nh   K§R-50</v>
          </cell>
          <cell r="D775" t="str">
            <v>C¸i</v>
          </cell>
          <cell r="E775">
            <v>1</v>
          </cell>
          <cell r="F775">
            <v>0.45</v>
          </cell>
          <cell r="G775">
            <v>390000</v>
          </cell>
        </row>
        <row r="776">
          <cell r="B776" t="str">
            <v>§CM-A-150/185</v>
          </cell>
          <cell r="C776" t="str">
            <v>RÏ nh¸nh</v>
          </cell>
          <cell r="D776" t="str">
            <v>C¸i</v>
          </cell>
          <cell r="E776">
            <v>1</v>
          </cell>
          <cell r="F776">
            <v>0.4</v>
          </cell>
          <cell r="G776">
            <v>125700</v>
          </cell>
        </row>
        <row r="777">
          <cell r="B777" t="str">
            <v>C§D-240</v>
          </cell>
          <cell r="C777" t="str">
            <v>CÇu ®Êu d©y   C§D-240</v>
          </cell>
          <cell r="D777" t="str">
            <v>C¸i</v>
          </cell>
          <cell r="E777">
            <v>1</v>
          </cell>
          <cell r="F777">
            <v>0.45</v>
          </cell>
          <cell r="G777">
            <v>61600</v>
          </cell>
        </row>
        <row r="778">
          <cell r="B778" t="str">
            <v>C§D-185</v>
          </cell>
          <cell r="C778" t="str">
            <v>CÇu ®Êu d©y   C§D-185</v>
          </cell>
          <cell r="D778" t="str">
            <v>C¸i</v>
          </cell>
          <cell r="E778">
            <v>1</v>
          </cell>
          <cell r="F778">
            <v>0.45</v>
          </cell>
          <cell r="G778">
            <v>61600</v>
          </cell>
        </row>
        <row r="779">
          <cell r="B779" t="str">
            <v>C§D-150</v>
          </cell>
          <cell r="C779" t="str">
            <v>CÇu ®Êu d©y   C§D-150</v>
          </cell>
          <cell r="D779" t="str">
            <v>C¸i</v>
          </cell>
          <cell r="E779">
            <v>1</v>
          </cell>
          <cell r="F779">
            <v>0.45</v>
          </cell>
          <cell r="G779">
            <v>61600</v>
          </cell>
        </row>
        <row r="780">
          <cell r="B780" t="str">
            <v>C§D-120</v>
          </cell>
          <cell r="C780" t="str">
            <v>CÇu ®Êu d©y   C§D-120</v>
          </cell>
          <cell r="D780" t="str">
            <v>C¸i</v>
          </cell>
          <cell r="E780">
            <v>1</v>
          </cell>
          <cell r="F780">
            <v>0.45</v>
          </cell>
          <cell r="G780">
            <v>61600</v>
          </cell>
        </row>
        <row r="781">
          <cell r="B781" t="str">
            <v>C§D-95</v>
          </cell>
          <cell r="C781" t="str">
            <v>CÇu ®Êu d©y   C§D-95</v>
          </cell>
          <cell r="D781" t="str">
            <v>C¸i</v>
          </cell>
          <cell r="E781">
            <v>1</v>
          </cell>
          <cell r="F781">
            <v>0.45</v>
          </cell>
          <cell r="G781">
            <v>61600</v>
          </cell>
        </row>
        <row r="782">
          <cell r="B782" t="str">
            <v>C§D-70</v>
          </cell>
          <cell r="C782" t="str">
            <v>CÇu ®Êu d©y   C§D-70</v>
          </cell>
          <cell r="D782" t="str">
            <v>C¸i</v>
          </cell>
          <cell r="E782">
            <v>1</v>
          </cell>
          <cell r="F782">
            <v>0.45</v>
          </cell>
          <cell r="G782">
            <v>61600</v>
          </cell>
        </row>
        <row r="783">
          <cell r="B783" t="str">
            <v>C§D-50</v>
          </cell>
          <cell r="C783" t="str">
            <v>CÇu ®Êu d©y   C§D-50</v>
          </cell>
          <cell r="D783" t="str">
            <v>C¸i</v>
          </cell>
          <cell r="E783">
            <v>1</v>
          </cell>
          <cell r="F783">
            <v>0.45</v>
          </cell>
          <cell r="G783">
            <v>61600</v>
          </cell>
        </row>
        <row r="784">
          <cell r="B784" t="str">
            <v>K§C-240</v>
          </cell>
          <cell r="C784" t="str">
            <v>KÑp ®Êu chim   K§C-240</v>
          </cell>
          <cell r="D784" t="str">
            <v>C¸i</v>
          </cell>
          <cell r="E784">
            <v>1</v>
          </cell>
          <cell r="F784">
            <v>0.45</v>
          </cell>
          <cell r="G784">
            <v>41160</v>
          </cell>
        </row>
        <row r="785">
          <cell r="B785" t="str">
            <v>K§C-185</v>
          </cell>
          <cell r="C785" t="str">
            <v>KÑp ®Êu chim   K§C-185</v>
          </cell>
          <cell r="D785" t="str">
            <v>C¸i</v>
          </cell>
          <cell r="E785">
            <v>1</v>
          </cell>
          <cell r="F785">
            <v>0.45</v>
          </cell>
          <cell r="G785">
            <v>41160</v>
          </cell>
        </row>
        <row r="786">
          <cell r="B786" t="str">
            <v>K§C-150</v>
          </cell>
          <cell r="C786" t="str">
            <v>KÑp ®Êu chim   K§C-150</v>
          </cell>
          <cell r="D786" t="str">
            <v>C¸i</v>
          </cell>
          <cell r="E786">
            <v>1</v>
          </cell>
          <cell r="F786">
            <v>0.45</v>
          </cell>
          <cell r="G786">
            <v>41160</v>
          </cell>
        </row>
        <row r="787">
          <cell r="B787" t="str">
            <v>K§C-120</v>
          </cell>
          <cell r="C787" t="str">
            <v>KÑp ®Êu chim   K§C-120</v>
          </cell>
          <cell r="D787" t="str">
            <v>C¸i</v>
          </cell>
          <cell r="E787">
            <v>1</v>
          </cell>
          <cell r="F787">
            <v>0.45</v>
          </cell>
          <cell r="G787">
            <v>41160</v>
          </cell>
        </row>
        <row r="788">
          <cell r="B788" t="str">
            <v>K§C-95</v>
          </cell>
          <cell r="C788" t="str">
            <v>KÑp ®Êu chim   K§C-95</v>
          </cell>
          <cell r="D788" t="str">
            <v>C¸i</v>
          </cell>
          <cell r="E788">
            <v>1</v>
          </cell>
          <cell r="F788">
            <v>0.45</v>
          </cell>
          <cell r="G788">
            <v>41160</v>
          </cell>
        </row>
        <row r="789">
          <cell r="B789" t="str">
            <v>K§C-70</v>
          </cell>
          <cell r="C789" t="str">
            <v>KÑp ®Êu chim   K§C-70</v>
          </cell>
          <cell r="D789" t="str">
            <v>C¸i</v>
          </cell>
          <cell r="E789">
            <v>1</v>
          </cell>
          <cell r="F789">
            <v>0.45</v>
          </cell>
          <cell r="G789">
            <v>41160</v>
          </cell>
        </row>
        <row r="790">
          <cell r="B790" t="str">
            <v>K§C-50</v>
          </cell>
          <cell r="C790" t="str">
            <v>KÑp ®Êu chim   K§C-50</v>
          </cell>
          <cell r="D790" t="str">
            <v>C¸i</v>
          </cell>
          <cell r="E790">
            <v>1</v>
          </cell>
          <cell r="F790">
            <v>0.45</v>
          </cell>
          <cell r="G790">
            <v>41160</v>
          </cell>
        </row>
        <row r="791">
          <cell r="C791" t="str">
            <v>C¸ch ly ®Çu tuyÕn</v>
          </cell>
        </row>
        <row r="792">
          <cell r="B792" t="str">
            <v>CSV-0.4</v>
          </cell>
          <cell r="C792" t="str">
            <v>Chèng sÐt van 0.4 kV</v>
          </cell>
          <cell r="D792" t="str">
            <v>C¸i</v>
          </cell>
          <cell r="E792">
            <v>1</v>
          </cell>
          <cell r="F792">
            <v>1.1499999999999999</v>
          </cell>
          <cell r="G792">
            <v>56000</v>
          </cell>
        </row>
        <row r="793">
          <cell r="B793" t="str">
            <v>FCO-22</v>
          </cell>
          <cell r="C793" t="str">
            <v>CÇu ch× tù r¬i FCO-22</v>
          </cell>
          <cell r="D793" t="str">
            <v>C¸i</v>
          </cell>
          <cell r="E793">
            <v>1</v>
          </cell>
          <cell r="F793">
            <v>6.15</v>
          </cell>
          <cell r="G793">
            <v>538000</v>
          </cell>
        </row>
        <row r="794">
          <cell r="B794" t="str">
            <v>FCO-35</v>
          </cell>
          <cell r="C794" t="str">
            <v>CÇu ch× tù r¬i FCO-35</v>
          </cell>
          <cell r="D794" t="str">
            <v>C¸i</v>
          </cell>
          <cell r="E794">
            <v>1</v>
          </cell>
          <cell r="F794">
            <v>7.66</v>
          </cell>
          <cell r="G794">
            <v>1172000</v>
          </cell>
        </row>
        <row r="795">
          <cell r="B795" t="str">
            <v>§C-M150</v>
          </cell>
          <cell r="C795" t="str">
            <v>VËt liÖu kh¸c</v>
          </cell>
          <cell r="D795" t="str">
            <v>C¸i</v>
          </cell>
          <cell r="E795">
            <v>1</v>
          </cell>
          <cell r="F795">
            <v>0.35</v>
          </cell>
          <cell r="G795">
            <v>78000</v>
          </cell>
        </row>
        <row r="796">
          <cell r="B796" t="str">
            <v>P§C-24KV-(3x300)</v>
          </cell>
          <cell r="C796" t="str">
            <v>§Çu c¸p ngÇm 24 KV d©y 3x300 mm2</v>
          </cell>
          <cell r="D796" t="str">
            <v>bé</v>
          </cell>
          <cell r="E796">
            <v>1</v>
          </cell>
          <cell r="F796">
            <v>5.78</v>
          </cell>
          <cell r="G796">
            <v>4253000</v>
          </cell>
        </row>
        <row r="797">
          <cell r="B797" t="str">
            <v>P§C-24KV-(3x240)</v>
          </cell>
          <cell r="C797" t="str">
            <v>§Çu c¸p ngÇm 24 KV d©y 3x240 mm2</v>
          </cell>
          <cell r="D797" t="str">
            <v>bé</v>
          </cell>
          <cell r="E797">
            <v>1</v>
          </cell>
          <cell r="F797">
            <v>5.55</v>
          </cell>
          <cell r="G797">
            <v>3885000</v>
          </cell>
        </row>
        <row r="798">
          <cell r="B798" t="str">
            <v>P§C-24KV-(3x185)</v>
          </cell>
          <cell r="C798" t="str">
            <v>§Çu c¸p ngÇm 24 KV d©y 3x185 mm2</v>
          </cell>
          <cell r="D798" t="str">
            <v>bé</v>
          </cell>
          <cell r="E798">
            <v>1</v>
          </cell>
          <cell r="F798">
            <v>5.31</v>
          </cell>
          <cell r="G798">
            <v>3412000</v>
          </cell>
        </row>
        <row r="799">
          <cell r="B799" t="str">
            <v>P§C-24KV-(3x150)</v>
          </cell>
          <cell r="C799" t="str">
            <v>§Çu c¸p ngÇm 24 KV d©y 3x150 mm2</v>
          </cell>
          <cell r="D799" t="str">
            <v>bé</v>
          </cell>
          <cell r="E799">
            <v>1</v>
          </cell>
          <cell r="F799">
            <v>5.15</v>
          </cell>
          <cell r="G799">
            <v>3475654</v>
          </cell>
        </row>
        <row r="800">
          <cell r="B800" t="str">
            <v>P§C-24KV-(3x120)</v>
          </cell>
          <cell r="C800" t="str">
            <v>§Çu c¸p ngÇm 24 KV d©y 3x120 mm2</v>
          </cell>
          <cell r="D800" t="str">
            <v>bé</v>
          </cell>
          <cell r="E800">
            <v>1</v>
          </cell>
          <cell r="F800">
            <v>4.96</v>
          </cell>
          <cell r="G800">
            <v>3440850</v>
          </cell>
        </row>
        <row r="801">
          <cell r="B801" t="str">
            <v>P§C-24KV-(3x95)</v>
          </cell>
          <cell r="C801" t="str">
            <v>§Çu c¸p ngÇm 24 KV d©y 3x95 mm2</v>
          </cell>
          <cell r="D801" t="str">
            <v>bé</v>
          </cell>
          <cell r="E801">
            <v>1</v>
          </cell>
          <cell r="F801">
            <v>4.79</v>
          </cell>
          <cell r="G801">
            <v>3309544</v>
          </cell>
        </row>
        <row r="802">
          <cell r="B802" t="str">
            <v>P§C-24KV-(3x70)</v>
          </cell>
          <cell r="C802" t="str">
            <v>§Çu c¸p ngÇm 24 KV d©y 3x70 mm2</v>
          </cell>
          <cell r="D802" t="str">
            <v>bé</v>
          </cell>
          <cell r="E802">
            <v>1</v>
          </cell>
          <cell r="F802">
            <v>4.3600000000000003</v>
          </cell>
          <cell r="G802">
            <v>3165582</v>
          </cell>
        </row>
        <row r="803">
          <cell r="B803" t="str">
            <v>P§C-24KV-(3x50)</v>
          </cell>
          <cell r="C803" t="str">
            <v>§Çu c¸p ngÇm 24 KV d©y 3x50 mm2</v>
          </cell>
          <cell r="D803" t="str">
            <v>bé</v>
          </cell>
          <cell r="E803">
            <v>1</v>
          </cell>
          <cell r="F803">
            <v>4.21</v>
          </cell>
          <cell r="G803">
            <v>3024784</v>
          </cell>
        </row>
        <row r="804">
          <cell r="B804" t="str">
            <v>P§C-24KV-(3x35)</v>
          </cell>
          <cell r="C804" t="str">
            <v>§Çu c¸p ngÇm 24 KV d©y 3x35 mm2</v>
          </cell>
          <cell r="D804" t="str">
            <v>bé</v>
          </cell>
          <cell r="E804">
            <v>1</v>
          </cell>
          <cell r="F804">
            <v>4.01</v>
          </cell>
          <cell r="G804">
            <v>2847600</v>
          </cell>
        </row>
        <row r="805">
          <cell r="B805" t="str">
            <v>P§C-35KV-(3x300)</v>
          </cell>
          <cell r="C805" t="str">
            <v>§Çu c¸p ngÇm 35 KV d©y 3x300 mm2</v>
          </cell>
          <cell r="D805" t="str">
            <v>bé</v>
          </cell>
          <cell r="E805">
            <v>1</v>
          </cell>
          <cell r="F805">
            <v>6.28</v>
          </cell>
          <cell r="G805">
            <v>8150000</v>
          </cell>
        </row>
        <row r="806">
          <cell r="B806" t="str">
            <v>P§C-35KV-(3x350)</v>
          </cell>
          <cell r="C806" t="str">
            <v>§Çu c¸p ngÇm 35 KV d©y 3x240 mm2</v>
          </cell>
          <cell r="D806" t="str">
            <v>bé</v>
          </cell>
          <cell r="E806">
            <v>1</v>
          </cell>
          <cell r="F806">
            <v>6.05</v>
          </cell>
          <cell r="G806">
            <v>7664000</v>
          </cell>
        </row>
        <row r="807">
          <cell r="B807" t="str">
            <v>P§C-35KV-(3x185)</v>
          </cell>
          <cell r="C807" t="str">
            <v>§Çu c¸p ngÇm 35 KV d©y 3x185 mm2</v>
          </cell>
          <cell r="D807" t="str">
            <v>bé</v>
          </cell>
          <cell r="E807">
            <v>1</v>
          </cell>
          <cell r="F807">
            <v>5.81</v>
          </cell>
          <cell r="G807">
            <v>7356300</v>
          </cell>
        </row>
        <row r="808">
          <cell r="B808" t="str">
            <v>P§C-35KV-(3x150)</v>
          </cell>
          <cell r="C808" t="str">
            <v>§Çu c¸p ngÇm 35 KV d©y 3x150 mm2</v>
          </cell>
          <cell r="D808" t="str">
            <v>bé</v>
          </cell>
          <cell r="E808">
            <v>1</v>
          </cell>
          <cell r="F808">
            <v>5.65</v>
          </cell>
          <cell r="G808">
            <v>7198100</v>
          </cell>
        </row>
        <row r="809">
          <cell r="B809" t="str">
            <v>P§C-35KV-(3x120)</v>
          </cell>
          <cell r="C809" t="str">
            <v>§Çu c¸p ngÇm 35 KV d©y 3x120 mm2</v>
          </cell>
          <cell r="D809" t="str">
            <v>bé</v>
          </cell>
          <cell r="E809">
            <v>1</v>
          </cell>
          <cell r="F809">
            <v>5.46</v>
          </cell>
          <cell r="G809">
            <v>6660220</v>
          </cell>
        </row>
        <row r="810">
          <cell r="B810" t="str">
            <v>P§C-35KV-(3x95)</v>
          </cell>
          <cell r="C810" t="str">
            <v>§Çu c¸p ngÇm 35 KV d©y 3x95 mm2</v>
          </cell>
          <cell r="D810" t="str">
            <v>bé</v>
          </cell>
          <cell r="E810">
            <v>1</v>
          </cell>
          <cell r="F810">
            <v>5.29</v>
          </cell>
          <cell r="G810">
            <v>5932500</v>
          </cell>
        </row>
        <row r="811">
          <cell r="B811" t="str">
            <v>P§C-35KV-(3x70)</v>
          </cell>
          <cell r="C811" t="str">
            <v>§Çu c¸p ngÇm 35 KV d©y 3x70 mm2</v>
          </cell>
          <cell r="D811" t="str">
            <v>bé</v>
          </cell>
          <cell r="E811">
            <v>1</v>
          </cell>
          <cell r="F811">
            <v>4.8600000000000003</v>
          </cell>
          <cell r="G811">
            <v>4192300</v>
          </cell>
        </row>
        <row r="812">
          <cell r="B812" t="str">
            <v>P§C-35KV-(3x50)</v>
          </cell>
          <cell r="C812" t="str">
            <v>§Çu c¸p ngÇm 35 KV d©y 3x50 mm2</v>
          </cell>
          <cell r="D812" t="str">
            <v>bé</v>
          </cell>
          <cell r="E812">
            <v>1</v>
          </cell>
          <cell r="F812">
            <v>4.71</v>
          </cell>
          <cell r="G812">
            <v>3875900</v>
          </cell>
        </row>
        <row r="813">
          <cell r="B813" t="str">
            <v>P§C-35KV-(3x35)</v>
          </cell>
          <cell r="C813" t="str">
            <v>§Çu c¸p ngÇm 35 KV d©y 3x35 mm2</v>
          </cell>
          <cell r="D813" t="str">
            <v>bé</v>
          </cell>
          <cell r="E813">
            <v>1</v>
          </cell>
          <cell r="F813">
            <v>4.51</v>
          </cell>
          <cell r="G813">
            <v>3638600</v>
          </cell>
        </row>
        <row r="814">
          <cell r="B814" t="str">
            <v>CR-2.8</v>
          </cell>
          <cell r="C814" t="str">
            <v>T¹ chèng rung TR-2.8</v>
          </cell>
          <cell r="D814" t="str">
            <v>bé</v>
          </cell>
          <cell r="E814">
            <v>1</v>
          </cell>
          <cell r="F814">
            <v>2.8</v>
          </cell>
          <cell r="G814">
            <v>83000</v>
          </cell>
        </row>
        <row r="815">
          <cell r="B815" t="str">
            <v>CR-3.6</v>
          </cell>
          <cell r="C815" t="str">
            <v>T¹ chèng rung TCR-3.6</v>
          </cell>
          <cell r="D815" t="str">
            <v>bé</v>
          </cell>
          <cell r="E815">
            <v>1</v>
          </cell>
          <cell r="F815">
            <v>3.6</v>
          </cell>
          <cell r="G815">
            <v>62000</v>
          </cell>
        </row>
        <row r="816">
          <cell r="B816" t="str">
            <v>§C-M</v>
          </cell>
          <cell r="C816" t="str">
            <v>D©y dÉn</v>
          </cell>
          <cell r="D816" t="str">
            <v>C¸i</v>
          </cell>
          <cell r="E816">
            <v>1</v>
          </cell>
          <cell r="F816">
            <v>0.35</v>
          </cell>
          <cell r="G816">
            <v>17500</v>
          </cell>
        </row>
        <row r="817">
          <cell r="C817" t="str">
            <v>D©y nh«m lâi thÐp ACSR</v>
          </cell>
        </row>
        <row r="818">
          <cell r="B818" t="str">
            <v>AC-300</v>
          </cell>
          <cell r="C818" t="str">
            <v>D©y nh«m lâi thÐp AC-300</v>
          </cell>
          <cell r="D818" t="str">
            <v>m</v>
          </cell>
          <cell r="E818">
            <v>1</v>
          </cell>
          <cell r="F818">
            <v>1.1319999999999999</v>
          </cell>
          <cell r="G818">
            <v>42666.54</v>
          </cell>
        </row>
        <row r="819">
          <cell r="B819" t="str">
            <v>AC-240</v>
          </cell>
          <cell r="C819" t="str">
            <v>D©y nh«m lâi thÐp AC-240</v>
          </cell>
          <cell r="D819" t="str">
            <v>m</v>
          </cell>
          <cell r="E819">
            <v>1</v>
          </cell>
          <cell r="F819">
            <v>0.92</v>
          </cell>
          <cell r="G819">
            <v>33174.54</v>
          </cell>
        </row>
        <row r="820">
          <cell r="B820" t="str">
            <v>AC-185</v>
          </cell>
          <cell r="C820" t="str">
            <v>D©y nh«m lâi thÐp AC-185</v>
          </cell>
          <cell r="D820" t="str">
            <v>m</v>
          </cell>
          <cell r="E820">
            <v>1</v>
          </cell>
          <cell r="F820">
            <v>0.70499999999999996</v>
          </cell>
          <cell r="G820">
            <v>25391.1</v>
          </cell>
        </row>
        <row r="821">
          <cell r="B821" t="str">
            <v>AC-150</v>
          </cell>
          <cell r="C821" t="str">
            <v>D©y nh«m lâi thÐp AC-150</v>
          </cell>
          <cell r="D821" t="str">
            <v>m</v>
          </cell>
          <cell r="E821">
            <v>1</v>
          </cell>
          <cell r="F821">
            <v>0.55400000000000005</v>
          </cell>
          <cell r="G821">
            <v>20993.14</v>
          </cell>
        </row>
        <row r="822">
          <cell r="B822" t="str">
            <v>AC-120</v>
          </cell>
          <cell r="C822" t="str">
            <v>D©y nh«m lâi thÐp AC-120</v>
          </cell>
          <cell r="D822" t="str">
            <v>m</v>
          </cell>
          <cell r="E822">
            <v>1</v>
          </cell>
          <cell r="F822">
            <v>0.47099999999999997</v>
          </cell>
          <cell r="G822">
            <v>16595.18</v>
          </cell>
        </row>
        <row r="823">
          <cell r="B823" t="str">
            <v>AC-95</v>
          </cell>
          <cell r="C823" t="str">
            <v>D©y nh«m lâi thÐp AC-95</v>
          </cell>
          <cell r="D823" t="str">
            <v>m</v>
          </cell>
          <cell r="E823">
            <v>1</v>
          </cell>
          <cell r="F823">
            <v>0.38600000000000001</v>
          </cell>
          <cell r="G823">
            <v>13367.9</v>
          </cell>
        </row>
        <row r="824">
          <cell r="B824" t="str">
            <v>AC-70</v>
          </cell>
          <cell r="C824" t="str">
            <v>D©y nh«m lâi thÐp AC-70</v>
          </cell>
          <cell r="D824" t="str">
            <v>m</v>
          </cell>
          <cell r="E824">
            <v>1</v>
          </cell>
          <cell r="F824">
            <v>0.27600000000000002</v>
          </cell>
          <cell r="G824">
            <v>9476.18</v>
          </cell>
        </row>
        <row r="825">
          <cell r="B825" t="str">
            <v>AC-50</v>
          </cell>
          <cell r="C825" t="str">
            <v>D©y nh«m lâi thÐp AC-50</v>
          </cell>
          <cell r="D825" t="str">
            <v>m</v>
          </cell>
          <cell r="E825">
            <v>1</v>
          </cell>
          <cell r="F825">
            <v>0.19600000000000001</v>
          </cell>
          <cell r="G825">
            <v>6770.96</v>
          </cell>
        </row>
        <row r="826">
          <cell r="B826" t="str">
            <v>K§R-240</v>
          </cell>
          <cell r="C826" t="str">
            <v>D©y nh«m trÇn A</v>
          </cell>
          <cell r="D826" t="str">
            <v>C¸i</v>
          </cell>
          <cell r="E826">
            <v>1</v>
          </cell>
          <cell r="F826">
            <v>0.45</v>
          </cell>
          <cell r="G826">
            <v>390000</v>
          </cell>
        </row>
        <row r="827">
          <cell r="B827" t="str">
            <v>A-240</v>
          </cell>
          <cell r="C827" t="str">
            <v>D©y nh«m trÇn A-240</v>
          </cell>
          <cell r="D827" t="str">
            <v>m</v>
          </cell>
          <cell r="E827">
            <v>1</v>
          </cell>
          <cell r="F827">
            <v>0.65600000000000003</v>
          </cell>
          <cell r="G827">
            <v>27938.12</v>
          </cell>
        </row>
        <row r="828">
          <cell r="B828" t="str">
            <v>A-185</v>
          </cell>
          <cell r="C828" t="str">
            <v>D©y nh«m trÇn A-185</v>
          </cell>
          <cell r="D828" t="str">
            <v>m</v>
          </cell>
          <cell r="E828">
            <v>1</v>
          </cell>
          <cell r="F828">
            <v>0.54500000000000004</v>
          </cell>
          <cell r="G828">
            <v>21673.4</v>
          </cell>
        </row>
        <row r="829">
          <cell r="B829" t="str">
            <v>A-150</v>
          </cell>
          <cell r="C829" t="str">
            <v>D©y nh«m trÇn A-150</v>
          </cell>
          <cell r="D829" t="str">
            <v>m</v>
          </cell>
          <cell r="E829">
            <v>1</v>
          </cell>
          <cell r="F829">
            <v>0.44500000000000001</v>
          </cell>
          <cell r="G829">
            <v>17607.66</v>
          </cell>
        </row>
        <row r="830">
          <cell r="B830" t="str">
            <v>A-120</v>
          </cell>
          <cell r="C830" t="str">
            <v>D©y nh«m trÇn A-120</v>
          </cell>
          <cell r="D830" t="str">
            <v>m</v>
          </cell>
          <cell r="E830">
            <v>1</v>
          </cell>
          <cell r="F830">
            <v>0.34499999999999997</v>
          </cell>
          <cell r="G830">
            <v>13874.14</v>
          </cell>
        </row>
        <row r="831">
          <cell r="B831" t="str">
            <v>A-95</v>
          </cell>
          <cell r="C831" t="str">
            <v>D©y nh«m trÇn A-95</v>
          </cell>
          <cell r="D831" t="str">
            <v>m</v>
          </cell>
          <cell r="E831">
            <v>1</v>
          </cell>
          <cell r="F831">
            <v>0.255</v>
          </cell>
          <cell r="G831">
            <v>10836.7</v>
          </cell>
        </row>
        <row r="832">
          <cell r="B832" t="str">
            <v>A-70</v>
          </cell>
          <cell r="C832" t="str">
            <v>D©y nh«m trÇn A-70</v>
          </cell>
          <cell r="D832" t="str">
            <v>m</v>
          </cell>
          <cell r="E832">
            <v>1</v>
          </cell>
          <cell r="F832">
            <v>0.19500000000000001</v>
          </cell>
          <cell r="G832">
            <v>8131.4800000000005</v>
          </cell>
        </row>
        <row r="833">
          <cell r="B833" t="str">
            <v>A-50</v>
          </cell>
          <cell r="C833" t="str">
            <v>D©y nh«m trÇn A-50</v>
          </cell>
          <cell r="D833" t="str">
            <v>m</v>
          </cell>
          <cell r="E833">
            <v>1</v>
          </cell>
          <cell r="F833">
            <v>0.13100000000000001</v>
          </cell>
          <cell r="G833">
            <v>5758.48</v>
          </cell>
        </row>
        <row r="834">
          <cell r="C834" t="str">
            <v>D©y ®ång trÇn M</v>
          </cell>
        </row>
        <row r="835">
          <cell r="B835" t="str">
            <v>M-240</v>
          </cell>
          <cell r="C835" t="str">
            <v>D©y ®ång trÇn M-240</v>
          </cell>
          <cell r="D835" t="str">
            <v>m</v>
          </cell>
          <cell r="E835">
            <v>1</v>
          </cell>
          <cell r="F835">
            <v>0.85399999999999998</v>
          </cell>
          <cell r="G835">
            <v>136083.64000000001</v>
          </cell>
        </row>
        <row r="836">
          <cell r="B836" t="str">
            <v>M-185</v>
          </cell>
          <cell r="C836" t="str">
            <v>D©y ®ång trÇn M-185</v>
          </cell>
          <cell r="D836" t="str">
            <v>m</v>
          </cell>
          <cell r="E836">
            <v>1</v>
          </cell>
          <cell r="F836">
            <v>0.75600000000000001</v>
          </cell>
          <cell r="G836">
            <v>106326.22</v>
          </cell>
        </row>
        <row r="837">
          <cell r="B837" t="str">
            <v>M-150</v>
          </cell>
          <cell r="C837" t="str">
            <v>D©y ®ång trÇn M-150</v>
          </cell>
          <cell r="D837" t="str">
            <v>m</v>
          </cell>
          <cell r="E837">
            <v>1</v>
          </cell>
          <cell r="F837">
            <v>0.64500000000000002</v>
          </cell>
          <cell r="G837">
            <v>85617.84</v>
          </cell>
        </row>
        <row r="838">
          <cell r="B838" t="str">
            <v>M-120</v>
          </cell>
          <cell r="C838" t="str">
            <v>D©y ®ång trÇn M-120</v>
          </cell>
          <cell r="D838" t="str">
            <v>m</v>
          </cell>
          <cell r="E838">
            <v>1</v>
          </cell>
          <cell r="F838">
            <v>0.57599999999999996</v>
          </cell>
          <cell r="G838">
            <v>67519.759999999995</v>
          </cell>
        </row>
        <row r="839">
          <cell r="B839" t="str">
            <v>M-95</v>
          </cell>
          <cell r="C839" t="str">
            <v>D©y ®ång trÇn M-95</v>
          </cell>
          <cell r="D839" t="str">
            <v>m</v>
          </cell>
          <cell r="E839">
            <v>1</v>
          </cell>
          <cell r="F839">
            <v>0.48599999999999999</v>
          </cell>
          <cell r="G839">
            <v>54294.239999999998</v>
          </cell>
        </row>
        <row r="840">
          <cell r="B840" t="str">
            <v>M-70</v>
          </cell>
          <cell r="C840" t="str">
            <v>D©y ®ång trÇn M-70</v>
          </cell>
          <cell r="D840" t="str">
            <v>m</v>
          </cell>
          <cell r="E840">
            <v>1</v>
          </cell>
          <cell r="F840">
            <v>0.38600000000000001</v>
          </cell>
          <cell r="G840">
            <v>39154.5</v>
          </cell>
        </row>
        <row r="841">
          <cell r="B841" t="str">
            <v>M-50</v>
          </cell>
          <cell r="C841" t="str">
            <v>D©y ®ång trÇn M-50</v>
          </cell>
          <cell r="D841" t="str">
            <v>m</v>
          </cell>
          <cell r="E841">
            <v>1</v>
          </cell>
          <cell r="F841">
            <v>0.27600000000000002</v>
          </cell>
          <cell r="G841">
            <v>28365.26</v>
          </cell>
        </row>
        <row r="842">
          <cell r="B842" t="str">
            <v>M-38</v>
          </cell>
          <cell r="C842" t="str">
            <v>D©y ®ång trÇn M-38</v>
          </cell>
          <cell r="D842" t="str">
            <v>m</v>
          </cell>
          <cell r="E842">
            <v>1</v>
          </cell>
          <cell r="F842">
            <v>0.19600000000000001</v>
          </cell>
          <cell r="G842">
            <v>19838.28</v>
          </cell>
        </row>
        <row r="843">
          <cell r="B843" t="str">
            <v>M-25</v>
          </cell>
          <cell r="C843" t="str">
            <v>D©y ®ång trÇn M-25</v>
          </cell>
          <cell r="D843" t="str">
            <v>m</v>
          </cell>
          <cell r="E843">
            <v>1</v>
          </cell>
          <cell r="F843">
            <v>0.151</v>
          </cell>
          <cell r="G843">
            <v>14269.640000000001</v>
          </cell>
        </row>
        <row r="844">
          <cell r="B844" t="str">
            <v>M-16</v>
          </cell>
          <cell r="C844" t="str">
            <v>D©y ®ång trÇn M-16</v>
          </cell>
          <cell r="D844" t="str">
            <v>m</v>
          </cell>
          <cell r="E844">
            <v>1</v>
          </cell>
          <cell r="F844">
            <v>0.11600000000000001</v>
          </cell>
          <cell r="G844">
            <v>9223.06</v>
          </cell>
        </row>
        <row r="845">
          <cell r="B845" t="str">
            <v>K§C-185</v>
          </cell>
          <cell r="C845" t="str">
            <v>D©y nh«m bäc XLPE-24 KV</v>
          </cell>
          <cell r="D845" t="str">
            <v>C¸i</v>
          </cell>
          <cell r="E845">
            <v>1</v>
          </cell>
          <cell r="F845">
            <v>0.45</v>
          </cell>
          <cell r="G845">
            <v>41160</v>
          </cell>
        </row>
        <row r="846">
          <cell r="B846" t="str">
            <v>A240-24KV</v>
          </cell>
          <cell r="C846" t="str">
            <v>C¸p nh«m bäc XLPE/PVC-24KV-A(1x240)</v>
          </cell>
          <cell r="D846" t="str">
            <v>m</v>
          </cell>
          <cell r="E846">
            <v>1</v>
          </cell>
          <cell r="F846">
            <v>1.45</v>
          </cell>
          <cell r="G846">
            <v>115327.8</v>
          </cell>
        </row>
        <row r="847">
          <cell r="B847" t="str">
            <v>A185-24KV</v>
          </cell>
          <cell r="C847" t="str">
            <v>C¸p nh«m bäc XLPE/PVC-24KV-A(1x185)</v>
          </cell>
          <cell r="D847" t="str">
            <v>m</v>
          </cell>
          <cell r="E847">
            <v>1</v>
          </cell>
          <cell r="F847">
            <v>1.18</v>
          </cell>
          <cell r="G847">
            <v>96770.94</v>
          </cell>
        </row>
        <row r="848">
          <cell r="B848" t="str">
            <v>A150-24KV</v>
          </cell>
          <cell r="C848" t="str">
            <v>C¸p nh«m bäc XLPE/PVC-24KV-A(1x150)</v>
          </cell>
          <cell r="D848" t="str">
            <v>m</v>
          </cell>
          <cell r="E848">
            <v>1</v>
          </cell>
          <cell r="F848">
            <v>1.02</v>
          </cell>
          <cell r="G848">
            <v>84557.9</v>
          </cell>
        </row>
        <row r="849">
          <cell r="B849" t="str">
            <v>A120-24KV</v>
          </cell>
          <cell r="C849" t="str">
            <v>C¸p nh«m bäc XLPE/PVC-24KV-A(1x120)</v>
          </cell>
          <cell r="D849" t="str">
            <v>m</v>
          </cell>
          <cell r="E849">
            <v>1</v>
          </cell>
          <cell r="F849">
            <v>0.9</v>
          </cell>
          <cell r="G849">
            <v>74970.98</v>
          </cell>
        </row>
        <row r="850">
          <cell r="B850" t="str">
            <v>A95-24KV</v>
          </cell>
          <cell r="C850" t="str">
            <v>C¸p nh«m bäc XLPE/PVC-24KV-A(1x95)</v>
          </cell>
          <cell r="D850" t="str">
            <v>m</v>
          </cell>
          <cell r="E850">
            <v>1</v>
          </cell>
          <cell r="F850">
            <v>0.78</v>
          </cell>
          <cell r="G850">
            <v>66444</v>
          </cell>
        </row>
        <row r="851">
          <cell r="B851" t="str">
            <v>A70-24KV</v>
          </cell>
          <cell r="C851" t="str">
            <v>C¸p nh«m bäc XLPE/PVC-24KV-A(1x70)</v>
          </cell>
          <cell r="D851" t="str">
            <v>m</v>
          </cell>
          <cell r="E851">
            <v>1</v>
          </cell>
          <cell r="F851">
            <v>0.66</v>
          </cell>
          <cell r="G851">
            <v>56524.86</v>
          </cell>
        </row>
        <row r="852">
          <cell r="B852" t="str">
            <v>A50-24KV</v>
          </cell>
          <cell r="C852" t="str">
            <v>C¸p nh«m bäc XLPE/PVC-24KV-A(1x50)</v>
          </cell>
          <cell r="D852" t="str">
            <v>m</v>
          </cell>
          <cell r="E852">
            <v>1</v>
          </cell>
          <cell r="F852">
            <v>0.55000000000000004</v>
          </cell>
          <cell r="G852">
            <v>49247.659999999996</v>
          </cell>
        </row>
        <row r="853">
          <cell r="B853" t="str">
            <v>FCO-22</v>
          </cell>
          <cell r="C853" t="str">
            <v>C¸p ®ång bäc XLPE-24 KV</v>
          </cell>
          <cell r="D853" t="str">
            <v>C¸i</v>
          </cell>
          <cell r="E853">
            <v>1</v>
          </cell>
          <cell r="F853">
            <v>6.15</v>
          </cell>
          <cell r="G853">
            <v>538000</v>
          </cell>
        </row>
        <row r="854">
          <cell r="B854" t="str">
            <v>M240-24KV</v>
          </cell>
          <cell r="C854" t="str">
            <v>C¸p ®ång bäc XLPE/PVC-24KV-M(1x240)</v>
          </cell>
          <cell r="D854" t="str">
            <v>m</v>
          </cell>
          <cell r="E854">
            <v>1</v>
          </cell>
          <cell r="F854">
            <v>2.99</v>
          </cell>
          <cell r="G854">
            <v>191738.4</v>
          </cell>
        </row>
        <row r="855">
          <cell r="B855" t="str">
            <v>M185-24KV</v>
          </cell>
          <cell r="C855" t="str">
            <v>C¸p ®ång bäc XLPE/PVC-24KV-M(1x185)</v>
          </cell>
          <cell r="D855" t="str">
            <v>m</v>
          </cell>
          <cell r="E855">
            <v>1</v>
          </cell>
          <cell r="F855">
            <v>2.34</v>
          </cell>
          <cell r="G855">
            <v>165619.57999999999</v>
          </cell>
        </row>
        <row r="856">
          <cell r="B856" t="str">
            <v>M150-24KV</v>
          </cell>
          <cell r="C856" t="str">
            <v>C¸p ®ång bäc XLPE/PVC-24KV-M(1x150)</v>
          </cell>
          <cell r="D856" t="str">
            <v>m</v>
          </cell>
          <cell r="E856">
            <v>1</v>
          </cell>
          <cell r="F856">
            <v>1.94</v>
          </cell>
          <cell r="G856">
            <v>136384.22</v>
          </cell>
        </row>
        <row r="857">
          <cell r="B857" t="str">
            <v>M120-24KV</v>
          </cell>
          <cell r="C857" t="str">
            <v>C¸p ®ång bäc XLPE/PVC-24KV-M(1x120)</v>
          </cell>
          <cell r="D857" t="str">
            <v>m</v>
          </cell>
          <cell r="E857">
            <v>1</v>
          </cell>
          <cell r="F857">
            <v>1.65</v>
          </cell>
          <cell r="G857">
            <v>114789.92</v>
          </cell>
        </row>
        <row r="858">
          <cell r="B858" t="str">
            <v>M95-24KV</v>
          </cell>
          <cell r="C858" t="str">
            <v>C¸p ®ång bäc XLPE/PVC-24KV-M(1x95)</v>
          </cell>
          <cell r="D858" t="str">
            <v>m</v>
          </cell>
          <cell r="E858">
            <v>1</v>
          </cell>
          <cell r="F858">
            <v>1.37</v>
          </cell>
          <cell r="G858">
            <v>95679.360000000001</v>
          </cell>
        </row>
        <row r="859">
          <cell r="B859" t="str">
            <v>M70-24KV</v>
          </cell>
          <cell r="C859" t="str">
            <v>C¸p ®ång bäc XLPE/PVC-24KV-M(1x70)</v>
          </cell>
          <cell r="D859" t="str">
            <v>m</v>
          </cell>
          <cell r="E859">
            <v>1</v>
          </cell>
          <cell r="F859">
            <v>1.0900000000000001</v>
          </cell>
          <cell r="G859">
            <v>74749.5</v>
          </cell>
        </row>
        <row r="860">
          <cell r="B860" t="str">
            <v>M50-24KV</v>
          </cell>
          <cell r="C860" t="str">
            <v>C¸p ®ång bäc XLPE/PVC-24KV-M(1x50)</v>
          </cell>
          <cell r="D860" t="str">
            <v>m</v>
          </cell>
          <cell r="E860">
            <v>1</v>
          </cell>
          <cell r="F860">
            <v>0.84</v>
          </cell>
          <cell r="G860">
            <v>57980.3</v>
          </cell>
        </row>
        <row r="861">
          <cell r="B861" t="str">
            <v>M38-24KV</v>
          </cell>
          <cell r="C861" t="str">
            <v>C¸p ®ång bäc XLPE/PVC-24KV-M(1x38)</v>
          </cell>
          <cell r="D861" t="str">
            <v>m</v>
          </cell>
          <cell r="E861">
            <v>1</v>
          </cell>
          <cell r="F861">
            <v>0.7</v>
          </cell>
          <cell r="G861">
            <v>47681.479999999996</v>
          </cell>
        </row>
        <row r="862">
          <cell r="B862" t="str">
            <v>M25-24KV</v>
          </cell>
          <cell r="C862" t="str">
            <v>C¸p ®ång bäc XLPE/PVC-24KV-M(1x25)</v>
          </cell>
          <cell r="D862" t="str">
            <v>m</v>
          </cell>
          <cell r="E862">
            <v>1</v>
          </cell>
          <cell r="F862">
            <v>0.56999999999999995</v>
          </cell>
          <cell r="G862">
            <v>34455.96</v>
          </cell>
        </row>
        <row r="863">
          <cell r="B863" t="str">
            <v>P§C-24KV-(3x50)</v>
          </cell>
          <cell r="C863" t="str">
            <v>C¸p nh«m bäc PVC-0,6 KV</v>
          </cell>
          <cell r="D863" t="str">
            <v>bé</v>
          </cell>
          <cell r="E863">
            <v>1</v>
          </cell>
          <cell r="F863">
            <v>4.21</v>
          </cell>
          <cell r="G863">
            <v>3024784</v>
          </cell>
        </row>
        <row r="864">
          <cell r="B864" t="str">
            <v>AV-240</v>
          </cell>
          <cell r="C864" t="str">
            <v xml:space="preserve">C¸p nh«m bäc 0.6 KV/AV-240 mm2  </v>
          </cell>
          <cell r="D864" t="str">
            <v>m</v>
          </cell>
          <cell r="E864">
            <v>1</v>
          </cell>
          <cell r="F864">
            <v>0.91500000000000004</v>
          </cell>
          <cell r="G864">
            <v>34028.82</v>
          </cell>
        </row>
        <row r="865">
          <cell r="B865" t="str">
            <v>AV-185</v>
          </cell>
          <cell r="C865" t="str">
            <v>C¸p nh«m bäc 0.6 KV/AV-185 mm2</v>
          </cell>
          <cell r="D865" t="str">
            <v>m</v>
          </cell>
          <cell r="E865">
            <v>1</v>
          </cell>
          <cell r="F865">
            <v>0.7</v>
          </cell>
          <cell r="G865">
            <v>26071.359999999997</v>
          </cell>
        </row>
        <row r="866">
          <cell r="B866" t="str">
            <v>AV-150</v>
          </cell>
          <cell r="C866" t="str">
            <v>C¸p nh«m bäc 0.6 KV/AV-150 mm2</v>
          </cell>
          <cell r="D866" t="str">
            <v>m</v>
          </cell>
          <cell r="E866">
            <v>1</v>
          </cell>
          <cell r="F866">
            <v>0.56999999999999995</v>
          </cell>
          <cell r="G866">
            <v>20819.120000000003</v>
          </cell>
        </row>
        <row r="867">
          <cell r="B867" t="str">
            <v>AV-120</v>
          </cell>
          <cell r="C867" t="str">
            <v>C¸p nh«m bäc 0.6 KV/AV-120 mm2</v>
          </cell>
          <cell r="D867" t="str">
            <v>m</v>
          </cell>
          <cell r="E867">
            <v>1</v>
          </cell>
          <cell r="F867">
            <v>0.46</v>
          </cell>
          <cell r="G867">
            <v>16927.400000000001</v>
          </cell>
        </row>
        <row r="868">
          <cell r="B868" t="str">
            <v>AV-95</v>
          </cell>
          <cell r="C868" t="str">
            <v>C¸p nh«m bäc 0.6 KV/AV-95 mm2</v>
          </cell>
          <cell r="D868" t="str">
            <v>m</v>
          </cell>
          <cell r="E868">
            <v>1</v>
          </cell>
          <cell r="F868">
            <v>0.37</v>
          </cell>
          <cell r="G868">
            <v>13715.94</v>
          </cell>
        </row>
        <row r="869">
          <cell r="B869" t="str">
            <v>AV-70</v>
          </cell>
          <cell r="C869" t="str">
            <v>C¸p nh«m bäc 0.6 KV/AV-70 mm2</v>
          </cell>
          <cell r="D869" t="str">
            <v>m</v>
          </cell>
          <cell r="E869">
            <v>1</v>
          </cell>
          <cell r="F869">
            <v>0.27</v>
          </cell>
          <cell r="G869">
            <v>9824.2199999999993</v>
          </cell>
        </row>
        <row r="870">
          <cell r="B870" t="str">
            <v>AV-50</v>
          </cell>
          <cell r="C870" t="str">
            <v>C¸p nh«m bäc 0.6 KV/AV-50 mm2</v>
          </cell>
          <cell r="D870" t="str">
            <v>m</v>
          </cell>
          <cell r="E870">
            <v>1</v>
          </cell>
          <cell r="F870">
            <v>0.21</v>
          </cell>
          <cell r="G870">
            <v>7103.18</v>
          </cell>
        </row>
        <row r="871">
          <cell r="B871" t="str">
            <v>P§C-35KV-(3x70)</v>
          </cell>
          <cell r="C871" t="str">
            <v>C¸p ®ång bäc XLPE/PVC-0.6 KV</v>
          </cell>
          <cell r="D871" t="str">
            <v>bé</v>
          </cell>
          <cell r="E871">
            <v>1</v>
          </cell>
          <cell r="F871">
            <v>4.8600000000000003</v>
          </cell>
          <cell r="G871">
            <v>4192300</v>
          </cell>
        </row>
        <row r="872">
          <cell r="B872" t="str">
            <v>M300</v>
          </cell>
          <cell r="C872" t="str">
            <v>C¸p ®ång bäc XLPE/PVC-0.6 KV-M(1x300)</v>
          </cell>
          <cell r="D872" t="str">
            <v>m</v>
          </cell>
          <cell r="E872">
            <v>1</v>
          </cell>
          <cell r="F872">
            <v>3.16</v>
          </cell>
          <cell r="G872">
            <v>242000.00000000003</v>
          </cell>
        </row>
        <row r="873">
          <cell r="B873" t="str">
            <v>M240</v>
          </cell>
          <cell r="C873" t="str">
            <v>C¸p ®ång bäc XLPE/PVC-0.6 KV-M(1x240 )</v>
          </cell>
          <cell r="D873" t="str">
            <v>m</v>
          </cell>
          <cell r="E873">
            <v>1</v>
          </cell>
          <cell r="F873">
            <v>2.54</v>
          </cell>
          <cell r="G873">
            <v>206778.00000000003</v>
          </cell>
        </row>
        <row r="874">
          <cell r="B874" t="str">
            <v>M185</v>
          </cell>
          <cell r="C874" t="str">
            <v>C¸p ®ång bäc XLPE/PVC-0.6 KV-M(1x185)</v>
          </cell>
          <cell r="D874" t="str">
            <v>m</v>
          </cell>
          <cell r="E874">
            <v>1</v>
          </cell>
          <cell r="F874">
            <v>1.94</v>
          </cell>
          <cell r="G874">
            <v>138945.40000000002</v>
          </cell>
        </row>
        <row r="875">
          <cell r="B875" t="str">
            <v>M150</v>
          </cell>
          <cell r="C875" t="str">
            <v>C¸p ®ång bäc XLPE/PVC-0.6 KV-M(1x150)</v>
          </cell>
          <cell r="D875" t="str">
            <v>m</v>
          </cell>
          <cell r="E875">
            <v>1</v>
          </cell>
          <cell r="F875">
            <v>1.56</v>
          </cell>
          <cell r="G875">
            <v>93522.000000000015</v>
          </cell>
        </row>
        <row r="876">
          <cell r="B876" t="str">
            <v>M120</v>
          </cell>
          <cell r="C876" t="str">
            <v>C¸p ®ång bäc XLPE/PVC-0.6 KV-M(1x120)</v>
          </cell>
          <cell r="D876" t="str">
            <v>m</v>
          </cell>
          <cell r="E876">
            <v>1</v>
          </cell>
          <cell r="F876">
            <v>1.27</v>
          </cell>
          <cell r="G876">
            <v>72600</v>
          </cell>
        </row>
        <row r="877">
          <cell r="B877" t="str">
            <v>M95</v>
          </cell>
          <cell r="C877" t="str">
            <v>C¸p ®ång bäc XLPE/PVC-0.6 KV-M(1x95)</v>
          </cell>
          <cell r="D877" t="str">
            <v>m</v>
          </cell>
          <cell r="E877">
            <v>1</v>
          </cell>
          <cell r="F877">
            <v>1.01</v>
          </cell>
          <cell r="G877">
            <v>54674.400000000001</v>
          </cell>
        </row>
        <row r="878">
          <cell r="B878" t="str">
            <v>M70</v>
          </cell>
          <cell r="C878" t="str">
            <v>C¸p ®ång bäc XLPE/PVC-0.6 KV-M(1x70)</v>
          </cell>
          <cell r="D878" t="str">
            <v>m</v>
          </cell>
          <cell r="E878">
            <v>1</v>
          </cell>
          <cell r="F878">
            <v>0.75</v>
          </cell>
          <cell r="G878">
            <v>42592</v>
          </cell>
        </row>
        <row r="879">
          <cell r="B879" t="str">
            <v>M50</v>
          </cell>
          <cell r="C879" t="str">
            <v>C¸p ®ång bäc XLPE/PVC-0.6 KV-M(1x50)</v>
          </cell>
          <cell r="D879" t="str">
            <v>m</v>
          </cell>
          <cell r="E879">
            <v>1</v>
          </cell>
          <cell r="F879">
            <v>0.54</v>
          </cell>
          <cell r="G879">
            <v>31501.800000000003</v>
          </cell>
        </row>
        <row r="880">
          <cell r="B880" t="str">
            <v>M38</v>
          </cell>
          <cell r="C880" t="str">
            <v>C¸p ®ång bäc XLPE/PVC-0.6 KV-M(1x38)</v>
          </cell>
          <cell r="D880" t="str">
            <v>m</v>
          </cell>
          <cell r="E880">
            <v>1</v>
          </cell>
          <cell r="F880">
            <v>0.41</v>
          </cell>
          <cell r="G880">
            <v>24024</v>
          </cell>
        </row>
        <row r="881">
          <cell r="B881" t="str">
            <v>M35</v>
          </cell>
          <cell r="C881" t="str">
            <v>C¸p ®ång bäc XLPE/PVC-0.6 KV-M(1x35)</v>
          </cell>
          <cell r="D881" t="str">
            <v>m</v>
          </cell>
          <cell r="E881">
            <v>1</v>
          </cell>
          <cell r="F881">
            <v>0.41</v>
          </cell>
          <cell r="G881">
            <v>22022</v>
          </cell>
        </row>
        <row r="882">
          <cell r="B882" t="str">
            <v>M25</v>
          </cell>
          <cell r="C882" t="str">
            <v>C¸p ®ång bäc XLPE/PVC-0.6 KV-M(1x25)</v>
          </cell>
          <cell r="D882" t="str">
            <v>m</v>
          </cell>
          <cell r="E882">
            <v>1</v>
          </cell>
          <cell r="F882">
            <v>0.31</v>
          </cell>
          <cell r="G882">
            <v>16247.14</v>
          </cell>
        </row>
        <row r="883">
          <cell r="B883" t="str">
            <v>M22</v>
          </cell>
          <cell r="C883" t="str">
            <v>C¸p ®ång bäc XLPE/PVC-0.6 KV-M(1x22)</v>
          </cell>
          <cell r="D883" t="str">
            <v>m</v>
          </cell>
          <cell r="E883">
            <v>1</v>
          </cell>
          <cell r="F883">
            <v>0.31</v>
          </cell>
          <cell r="G883">
            <v>14770.127272727272</v>
          </cell>
        </row>
        <row r="884">
          <cell r="B884" t="str">
            <v>M16</v>
          </cell>
          <cell r="C884" t="str">
            <v>C¸p ®ång bäc XLPE/PVC-0.6 KV-M(1x16)</v>
          </cell>
          <cell r="D884" t="str">
            <v>m</v>
          </cell>
          <cell r="E884">
            <v>1</v>
          </cell>
          <cell r="F884">
            <v>0.21</v>
          </cell>
          <cell r="G884">
            <v>10836.7</v>
          </cell>
        </row>
        <row r="885">
          <cell r="B885" t="str">
            <v>AC-50</v>
          </cell>
          <cell r="C885" t="str">
            <v>C¸p vÆn xo¸n ABC-0,6 KV</v>
          </cell>
          <cell r="D885" t="str">
            <v>m</v>
          </cell>
          <cell r="E885">
            <v>1</v>
          </cell>
          <cell r="F885">
            <v>0.19600000000000001</v>
          </cell>
          <cell r="G885">
            <v>6770.96</v>
          </cell>
        </row>
        <row r="886">
          <cell r="B886" t="str">
            <v>A(4x185)</v>
          </cell>
          <cell r="C886" t="str">
            <v>C¸p vÆn xo¾n ABC-A(4x185) - 0.6 KV</v>
          </cell>
          <cell r="D886" t="str">
            <v>m</v>
          </cell>
          <cell r="E886">
            <v>1</v>
          </cell>
          <cell r="F886">
            <v>3.05</v>
          </cell>
          <cell r="G886">
            <v>105456.12000000001</v>
          </cell>
        </row>
        <row r="887">
          <cell r="B887" t="str">
            <v>A(4x150)</v>
          </cell>
          <cell r="C887" t="str">
            <v>C¸p vÆn xo¾n ABC-A(4x150) - 0.6 KV</v>
          </cell>
          <cell r="D887" t="str">
            <v>m</v>
          </cell>
          <cell r="E887">
            <v>1</v>
          </cell>
          <cell r="F887">
            <v>2.02</v>
          </cell>
          <cell r="G887">
            <v>88876.760000000009</v>
          </cell>
        </row>
        <row r="888">
          <cell r="B888" t="str">
            <v>A(4x120)</v>
          </cell>
          <cell r="C888" t="str">
            <v>C¸p vÆn xo¾n ABC-A(4x120) - 0.6 KV</v>
          </cell>
          <cell r="D888" t="str">
            <v>m</v>
          </cell>
          <cell r="E888">
            <v>1</v>
          </cell>
          <cell r="F888">
            <v>1.66</v>
          </cell>
          <cell r="G888">
            <v>73642.100000000006</v>
          </cell>
        </row>
        <row r="889">
          <cell r="B889" t="str">
            <v>A(4x95)</v>
          </cell>
          <cell r="C889" t="str">
            <v>C¸p vÆn xo¾n ABC-A(4x95) - 0.6 KV</v>
          </cell>
          <cell r="D889" t="str">
            <v>m</v>
          </cell>
          <cell r="E889">
            <v>1</v>
          </cell>
          <cell r="F889">
            <v>1.35</v>
          </cell>
          <cell r="G889">
            <v>54450</v>
          </cell>
        </row>
        <row r="890">
          <cell r="B890" t="str">
            <v>A(4x70)</v>
          </cell>
          <cell r="C890" t="str">
            <v>C¸p vÆn xo¾n ABC-A(4x70) - 0.6 KV</v>
          </cell>
          <cell r="D890" t="str">
            <v>m</v>
          </cell>
          <cell r="E890">
            <v>1</v>
          </cell>
          <cell r="F890">
            <v>0.96</v>
          </cell>
          <cell r="G890">
            <v>41600</v>
          </cell>
        </row>
        <row r="891">
          <cell r="B891" t="str">
            <v>A(4x50)</v>
          </cell>
          <cell r="C891" t="str">
            <v>C¸p vÆn xo¾n ABC-A(4x50) - 0.6 KV</v>
          </cell>
          <cell r="D891" t="str">
            <v>m</v>
          </cell>
          <cell r="E891">
            <v>1</v>
          </cell>
          <cell r="F891">
            <v>0.7</v>
          </cell>
          <cell r="G891">
            <v>31700</v>
          </cell>
        </row>
        <row r="892">
          <cell r="B892" t="str">
            <v>A(4x35)</v>
          </cell>
          <cell r="C892" t="str">
            <v>C¸p vÆn xo¾n ABC-A(4x35) - 0.6 KV</v>
          </cell>
          <cell r="D892" t="str">
            <v>m</v>
          </cell>
          <cell r="E892">
            <v>1</v>
          </cell>
          <cell r="F892">
            <v>0.52</v>
          </cell>
          <cell r="G892">
            <v>22859.9</v>
          </cell>
        </row>
        <row r="893">
          <cell r="B893" t="str">
            <v>A-50</v>
          </cell>
          <cell r="C893" t="str">
            <v>C¸p ngÇm XLPE/PVC/DSTA-24 KV</v>
          </cell>
          <cell r="D893" t="str">
            <v>m</v>
          </cell>
          <cell r="E893">
            <v>1</v>
          </cell>
          <cell r="F893">
            <v>0.13100000000000001</v>
          </cell>
          <cell r="G893">
            <v>5758.48</v>
          </cell>
        </row>
        <row r="894">
          <cell r="B894" t="str">
            <v>M(3x150)-24KV</v>
          </cell>
          <cell r="C894" t="str">
            <v>C¸p ngÇm XLPE/PVC/DSTA-24 KV- M(3x150)</v>
          </cell>
          <cell r="D894" t="str">
            <v>m</v>
          </cell>
          <cell r="E894">
            <v>1</v>
          </cell>
          <cell r="F894">
            <v>9.43</v>
          </cell>
          <cell r="G894">
            <v>454476.96</v>
          </cell>
        </row>
        <row r="895">
          <cell r="B895" t="str">
            <v>M(3x120)-24KV</v>
          </cell>
          <cell r="C895" t="str">
            <v>C¸p ngÇm XLPE/PVC/DSTA-24 KV- M(3x120)</v>
          </cell>
          <cell r="D895" t="str">
            <v>m</v>
          </cell>
          <cell r="E895">
            <v>1</v>
          </cell>
          <cell r="F895">
            <v>8.31</v>
          </cell>
          <cell r="G895">
            <v>387700.74000000005</v>
          </cell>
        </row>
        <row r="896">
          <cell r="B896" t="str">
            <v>M(3x95)-24KV</v>
          </cell>
          <cell r="C896" t="str">
            <v>C¸p ngÇm XLPE/PVC/DSTA-24 KV- M(3x95)</v>
          </cell>
          <cell r="D896" t="str">
            <v>m</v>
          </cell>
          <cell r="E896">
            <v>1</v>
          </cell>
          <cell r="F896">
            <v>7.23</v>
          </cell>
          <cell r="G896">
            <v>327078.5</v>
          </cell>
        </row>
        <row r="897">
          <cell r="B897" t="str">
            <v>M(3x70)-24KV</v>
          </cell>
          <cell r="C897" t="str">
            <v>C¸p ngÇm XLPE/PVC/DSTA-24 KV- M(3x70)</v>
          </cell>
          <cell r="D897" t="str">
            <v>m</v>
          </cell>
          <cell r="E897">
            <v>1</v>
          </cell>
          <cell r="F897">
            <v>6.11</v>
          </cell>
          <cell r="G897">
            <v>311416.69999999995</v>
          </cell>
        </row>
        <row r="898">
          <cell r="B898" t="str">
            <v>M(3x50)-24KV</v>
          </cell>
          <cell r="C898" t="str">
            <v>C¸p ngÇm XLPE/PVC/DSTA-24 KV- M(3x50)</v>
          </cell>
          <cell r="D898" t="str">
            <v>m</v>
          </cell>
          <cell r="E898">
            <v>1</v>
          </cell>
          <cell r="F898">
            <v>5.18</v>
          </cell>
          <cell r="G898">
            <v>247677.92</v>
          </cell>
        </row>
        <row r="899">
          <cell r="B899" t="str">
            <v>M(3x35)-24KV</v>
          </cell>
          <cell r="C899" t="str">
            <v>C¸p ngÇm XLPE/PVC/DSTA-24 KV- M(3x35)</v>
          </cell>
          <cell r="D899" t="str">
            <v>m</v>
          </cell>
          <cell r="E899">
            <v>1</v>
          </cell>
          <cell r="F899">
            <v>4.57</v>
          </cell>
          <cell r="G899">
            <v>217176.95999999999</v>
          </cell>
        </row>
        <row r="900">
          <cell r="B900" t="str">
            <v>M-70</v>
          </cell>
          <cell r="C900" t="str">
            <v>C¸p ngÇm XLPE/PVC/DSTA-35 KV</v>
          </cell>
          <cell r="D900" t="str">
            <v>m</v>
          </cell>
          <cell r="E900">
            <v>1</v>
          </cell>
          <cell r="F900">
            <v>0.38600000000000001</v>
          </cell>
          <cell r="G900">
            <v>39154.5</v>
          </cell>
        </row>
        <row r="901">
          <cell r="B901" t="str">
            <v>M(3x150)-35KV</v>
          </cell>
          <cell r="C901" t="str">
            <v>C¸p ngÇm XLPE/PVC/DSTA-35 KV- M(3x150)</v>
          </cell>
          <cell r="D901" t="str">
            <v>m</v>
          </cell>
          <cell r="E901">
            <v>1</v>
          </cell>
          <cell r="F901">
            <v>12.83</v>
          </cell>
          <cell r="G901">
            <v>649695.76</v>
          </cell>
        </row>
        <row r="902">
          <cell r="B902" t="str">
            <v>M(3x120)-35KV</v>
          </cell>
          <cell r="C902" t="str">
            <v>C¸p ngÇm XLPE/PVC/DSTA-35 KV- M(3x120)</v>
          </cell>
          <cell r="D902" t="str">
            <v>m</v>
          </cell>
          <cell r="E902">
            <v>1</v>
          </cell>
          <cell r="F902">
            <v>11.62</v>
          </cell>
          <cell r="G902">
            <v>565311.88</v>
          </cell>
        </row>
        <row r="903">
          <cell r="B903" t="str">
            <v>M(3x95)-35KV</v>
          </cell>
          <cell r="C903" t="str">
            <v>C¸p ngÇm XLPE/PVC/DSTA-35 KV- M(3x95)</v>
          </cell>
          <cell r="D903" t="str">
            <v>m</v>
          </cell>
          <cell r="E903">
            <v>1</v>
          </cell>
          <cell r="F903">
            <v>9.39</v>
          </cell>
          <cell r="G903">
            <v>467306.98000000004</v>
          </cell>
        </row>
        <row r="904">
          <cell r="B904" t="str">
            <v>M(3x70)-35KV</v>
          </cell>
          <cell r="C904" t="str">
            <v>C¸p ngÇm XLPE/PVC/DSTA-35 KV- M(3x70)</v>
          </cell>
          <cell r="D904" t="str">
            <v>m</v>
          </cell>
          <cell r="E904">
            <v>1</v>
          </cell>
          <cell r="F904">
            <v>8.17</v>
          </cell>
          <cell r="G904">
            <v>381847.34</v>
          </cell>
        </row>
        <row r="905">
          <cell r="B905" t="str">
            <v>M(3x50)-35KV</v>
          </cell>
          <cell r="C905" t="str">
            <v>C¸p ngÇm XLPE/PVC/DSTA-35 KV- M(3x50)</v>
          </cell>
          <cell r="D905" t="str">
            <v>m</v>
          </cell>
          <cell r="E905">
            <v>1</v>
          </cell>
          <cell r="F905">
            <v>7.16</v>
          </cell>
          <cell r="G905">
            <v>348467.14</v>
          </cell>
        </row>
        <row r="906">
          <cell r="B906" t="str">
            <v>M(3x35)-35KV</v>
          </cell>
          <cell r="C906" t="str">
            <v>C¸p ngÇm XLPE/PVC/DSTA-35 KV- M(3x35)</v>
          </cell>
          <cell r="D906" t="str">
            <v>m</v>
          </cell>
          <cell r="E906">
            <v>1</v>
          </cell>
          <cell r="F906">
            <v>6.19</v>
          </cell>
          <cell r="G906">
            <v>299061.27999999997</v>
          </cell>
        </row>
        <row r="907">
          <cell r="B907" t="str">
            <v>A185-24KV</v>
          </cell>
          <cell r="C907" t="str">
            <v>C¸p ngÇm XLPE/PVC/DSTA-0,6 KV</v>
          </cell>
          <cell r="D907" t="str">
            <v>m</v>
          </cell>
          <cell r="E907">
            <v>1</v>
          </cell>
          <cell r="F907">
            <v>1.18</v>
          </cell>
          <cell r="G907">
            <v>96770.94</v>
          </cell>
        </row>
        <row r="908">
          <cell r="B908" t="str">
            <v>D-M(1x300)</v>
          </cell>
          <cell r="C908" t="str">
            <v>C¸p ngÇm XLPE/PVC/DSTA-0,6 KV- M(1x300)</v>
          </cell>
          <cell r="D908" t="str">
            <v>m</v>
          </cell>
          <cell r="E908">
            <v>1</v>
          </cell>
          <cell r="F908">
            <v>3.6960000000000002</v>
          </cell>
          <cell r="G908">
            <v>242592.02730000002</v>
          </cell>
        </row>
        <row r="909">
          <cell r="B909" t="str">
            <v>D-M(1x240)</v>
          </cell>
          <cell r="C909" t="str">
            <v>C¸p ngÇm XLPE/PVC/DSTA-0,6 KV- M(1x240)</v>
          </cell>
          <cell r="D909" t="str">
            <v>m</v>
          </cell>
          <cell r="E909">
            <v>1</v>
          </cell>
          <cell r="F909">
            <v>2.984</v>
          </cell>
          <cell r="G909">
            <v>192875.06700000004</v>
          </cell>
        </row>
        <row r="910">
          <cell r="B910" t="str">
            <v>D-M(1x185)</v>
          </cell>
          <cell r="C910" t="str">
            <v>C¸p ngÇm XLPE/PVC/DSTA-0,6 KV- M(1x185)</v>
          </cell>
          <cell r="D910" t="str">
            <v>m</v>
          </cell>
          <cell r="E910">
            <v>1</v>
          </cell>
          <cell r="F910">
            <v>2.3450000000000002</v>
          </cell>
          <cell r="G910">
            <v>147406.014</v>
          </cell>
        </row>
        <row r="911">
          <cell r="B911" t="str">
            <v>D-M(1x150)</v>
          </cell>
          <cell r="C911" t="str">
            <v>C¸p ngÇm XLPE/PVC/DSTA-0,6 KV- M(1x150)</v>
          </cell>
          <cell r="D911" t="str">
            <v>m</v>
          </cell>
          <cell r="E911">
            <v>1</v>
          </cell>
          <cell r="F911">
            <v>1.996</v>
          </cell>
          <cell r="G911">
            <v>117463.50000000001</v>
          </cell>
        </row>
        <row r="912">
          <cell r="B912" t="str">
            <v>D-M(1x120)</v>
          </cell>
          <cell r="C912" t="str">
            <v>C¸p ngÇm XLPE/PVC/DSTA-0,6 KV- M(1x120)</v>
          </cell>
          <cell r="D912" t="str">
            <v>m</v>
          </cell>
          <cell r="E912">
            <v>1</v>
          </cell>
          <cell r="F912">
            <v>1.5840000000000001</v>
          </cell>
          <cell r="G912">
            <v>95294.934000000008</v>
          </cell>
        </row>
        <row r="913">
          <cell r="B913" t="str">
            <v>D-M(1x95)</v>
          </cell>
          <cell r="C913" t="str">
            <v>C¸p ngÇm XLPE/PVC/DSTA-0,6 KV- M(1x95)</v>
          </cell>
          <cell r="D913" t="str">
            <v>m</v>
          </cell>
          <cell r="E913">
            <v>1</v>
          </cell>
          <cell r="F913">
            <v>1.3440000000000001</v>
          </cell>
          <cell r="G913">
            <v>78145.263000000006</v>
          </cell>
        </row>
        <row r="914">
          <cell r="B914" t="str">
            <v>D-M(1x70)</v>
          </cell>
          <cell r="C914" t="str">
            <v>C¸p ngÇm XLPE/PVC/DSTA-0,6 KV- M(1x70)</v>
          </cell>
          <cell r="D914" t="str">
            <v>m</v>
          </cell>
          <cell r="E914">
            <v>1</v>
          </cell>
          <cell r="F914">
            <v>1.0329999999999999</v>
          </cell>
          <cell r="G914">
            <v>56895.04800000001</v>
          </cell>
        </row>
        <row r="915">
          <cell r="B915" t="str">
            <v>D-M(1x50)</v>
          </cell>
          <cell r="C915" t="str">
            <v>C¸p ngÇm XLPE/PVC/DSTA-0,6 KV- M(1x50)</v>
          </cell>
          <cell r="D915" t="str">
            <v>m</v>
          </cell>
          <cell r="E915">
            <v>1</v>
          </cell>
          <cell r="F915">
            <v>0.80700000000000005</v>
          </cell>
          <cell r="G915">
            <v>39766.734000000004</v>
          </cell>
        </row>
        <row r="916">
          <cell r="B916" t="str">
            <v>D-M(1x38)</v>
          </cell>
          <cell r="C916" t="str">
            <v>C¸p ngÇm XLPE/PVC/DSTA-0,6 KV- M(1x38)</v>
          </cell>
          <cell r="D916" t="str">
            <v>m</v>
          </cell>
          <cell r="E916">
            <v>1</v>
          </cell>
          <cell r="F916">
            <v>0.65900000000000003</v>
          </cell>
          <cell r="G916">
            <v>29707.587</v>
          </cell>
        </row>
        <row r="917">
          <cell r="B917" t="str">
            <v>D-M(1x35)</v>
          </cell>
          <cell r="C917" t="str">
            <v>C¸p ngÇm XLPE/PVC/DSTA-0,6 KV- M(1x35)</v>
          </cell>
          <cell r="D917" t="str">
            <v>m</v>
          </cell>
          <cell r="E917">
            <v>1</v>
          </cell>
          <cell r="F917">
            <v>0.63200000000000001</v>
          </cell>
          <cell r="G917">
            <v>29026.298700000003</v>
          </cell>
        </row>
        <row r="918">
          <cell r="B918" t="str">
            <v>D-M(1x25)</v>
          </cell>
          <cell r="C918" t="str">
            <v>C¸p ngÇm XLPE/PVC/DSTA-0,6 KV- M(1x25)</v>
          </cell>
          <cell r="D918" t="str">
            <v>m</v>
          </cell>
          <cell r="E918">
            <v>1</v>
          </cell>
          <cell r="F918">
            <v>0.51600000000000001</v>
          </cell>
          <cell r="G918">
            <v>24069.339</v>
          </cell>
        </row>
        <row r="919">
          <cell r="B919" t="str">
            <v>D-M(1x22)</v>
          </cell>
          <cell r="C919" t="str">
            <v>C¸p ngÇm XLPE/PVC/DSTA-0,6 KV- M(1x22)</v>
          </cell>
          <cell r="D919" t="str">
            <v>m</v>
          </cell>
          <cell r="E919">
            <v>1</v>
          </cell>
          <cell r="F919">
            <v>0.47599999999999998</v>
          </cell>
          <cell r="G919">
            <v>21933.638999999999</v>
          </cell>
        </row>
        <row r="920">
          <cell r="B920" t="str">
            <v>D-M(1x16)</v>
          </cell>
          <cell r="C920" t="str">
            <v>C¸p ngÇm XLPE/PVC/DSTA-0,6 KV- M(1x16)</v>
          </cell>
          <cell r="D920" t="str">
            <v>m</v>
          </cell>
          <cell r="E920">
            <v>1</v>
          </cell>
          <cell r="F920">
            <v>0.38400000000000001</v>
          </cell>
          <cell r="G920">
            <v>14629.545000000002</v>
          </cell>
        </row>
        <row r="921">
          <cell r="B921" t="str">
            <v>M38-24KV</v>
          </cell>
          <cell r="C921" t="str">
            <v>C¸p ngÇm XLPE/PVC/DSTA-0,6 KV</v>
          </cell>
          <cell r="D921" t="str">
            <v>m</v>
          </cell>
          <cell r="E921">
            <v>1</v>
          </cell>
          <cell r="F921">
            <v>0.7</v>
          </cell>
          <cell r="G921">
            <v>47681.479999999996</v>
          </cell>
        </row>
        <row r="922">
          <cell r="B922" t="str">
            <v>D-M(3x240+1x120)</v>
          </cell>
          <cell r="C922" t="str">
            <v>C¸p ngÇm XLPE/PVC/DSTA-0,6 KV- M(3x240+1x120)</v>
          </cell>
          <cell r="D922" t="str">
            <v>m</v>
          </cell>
          <cell r="E922">
            <v>1</v>
          </cell>
          <cell r="F922">
            <v>11.16</v>
          </cell>
          <cell r="G922">
            <v>645440.17999999993</v>
          </cell>
        </row>
        <row r="923">
          <cell r="B923" t="str">
            <v>D-M(3x185+1x95)</v>
          </cell>
          <cell r="C923" t="str">
            <v>C¸p ngÇm XLPE/PVC/DSTA-0,6 KV- M(3x185+1x95)</v>
          </cell>
          <cell r="D923" t="str">
            <v>m</v>
          </cell>
          <cell r="E923">
            <v>1</v>
          </cell>
          <cell r="F923">
            <v>8.7100000000000009</v>
          </cell>
          <cell r="G923">
            <v>498852.06</v>
          </cell>
        </row>
        <row r="924">
          <cell r="B924" t="str">
            <v>D-M(3x150+1x70)</v>
          </cell>
          <cell r="C924" t="str">
            <v>C¸p ngÇm XLPE/PVC/DSTA-0,6 KV- M(3x150+1x70)</v>
          </cell>
          <cell r="D924" t="str">
            <v>m</v>
          </cell>
          <cell r="E924">
            <v>1</v>
          </cell>
          <cell r="F924">
            <v>7.19</v>
          </cell>
          <cell r="G924">
            <v>405957.02</v>
          </cell>
        </row>
        <row r="925">
          <cell r="B925" t="str">
            <v>D-M(3x120+1x70)</v>
          </cell>
          <cell r="C925" t="str">
            <v>C¸p ngÇm XLPE/PVC/DSTA-0,6 KV- M(3x120+1x70)</v>
          </cell>
          <cell r="D925" t="str">
            <v>m</v>
          </cell>
          <cell r="E925">
            <v>1</v>
          </cell>
          <cell r="F925">
            <v>6</v>
          </cell>
          <cell r="G925">
            <v>332283.28000000003</v>
          </cell>
        </row>
        <row r="926">
          <cell r="B926" t="str">
            <v>D-M(3x95+1x50)</v>
          </cell>
          <cell r="C926" t="str">
            <v>C¸p ngÇm XLPE/PVC/DSTA-0,6 KV- M(3x95+1x50)</v>
          </cell>
          <cell r="D926" t="str">
            <v>m</v>
          </cell>
          <cell r="E926">
            <v>1</v>
          </cell>
          <cell r="F926">
            <v>4.8899999999999997</v>
          </cell>
          <cell r="G926">
            <v>268307.20000000001</v>
          </cell>
        </row>
        <row r="927">
          <cell r="B927" t="str">
            <v>D-M(3x70+1x50)</v>
          </cell>
          <cell r="C927" t="str">
            <v>C¸p ngÇm XLPE/PVC/DSTA-0,6 KV- M(3x70+1x50)</v>
          </cell>
          <cell r="D927" t="str">
            <v>m</v>
          </cell>
          <cell r="E927">
            <v>1</v>
          </cell>
          <cell r="F927">
            <v>3.67</v>
          </cell>
          <cell r="G927">
            <v>197370.32</v>
          </cell>
        </row>
        <row r="928">
          <cell r="B928" t="str">
            <v>D-M(3x70+1x35)</v>
          </cell>
          <cell r="C928" t="str">
            <v>C¸p ngÇm XLPE/PVC/DSTA-0,6 KV- M(3x70+1x35)</v>
          </cell>
          <cell r="D928" t="str">
            <v>m</v>
          </cell>
          <cell r="E928">
            <v>1</v>
          </cell>
          <cell r="F928">
            <v>3.3</v>
          </cell>
          <cell r="G928">
            <v>197370.32</v>
          </cell>
        </row>
        <row r="929">
          <cell r="B929" t="str">
            <v>D-M(3x50+1x35)</v>
          </cell>
          <cell r="C929" t="str">
            <v>C¸p ngÇm XLPE/PVC/DSTA-0,6 KV- M(3x50+1x35)</v>
          </cell>
          <cell r="D929" t="str">
            <v>m</v>
          </cell>
          <cell r="E929">
            <v>1</v>
          </cell>
          <cell r="F929">
            <v>2.59</v>
          </cell>
          <cell r="G929">
            <v>139136.9</v>
          </cell>
        </row>
        <row r="930">
          <cell r="B930" t="str">
            <v>D-M(3x50+1x25)</v>
          </cell>
          <cell r="C930" t="str">
            <v>C¸p ngÇm XLPE/PVC/DSTA-0,6 KV- M(3x50+1x25)</v>
          </cell>
          <cell r="D930" t="str">
            <v>m</v>
          </cell>
          <cell r="E930">
            <v>1</v>
          </cell>
          <cell r="F930">
            <v>2.48</v>
          </cell>
          <cell r="G930">
            <v>139136.9</v>
          </cell>
        </row>
        <row r="931">
          <cell r="B931" t="str">
            <v>D-M(3x35+1x25)</v>
          </cell>
          <cell r="C931" t="str">
            <v>C¸p ngÇm XLPE/PVC/DSTA-0,6 KV- M(3x35+1x25)</v>
          </cell>
          <cell r="D931" t="str">
            <v>m</v>
          </cell>
          <cell r="E931">
            <v>1</v>
          </cell>
          <cell r="F931">
            <v>1.97</v>
          </cell>
          <cell r="G931">
            <v>100377.9</v>
          </cell>
        </row>
        <row r="932">
          <cell r="B932" t="str">
            <v>D-M(3x35+1x16)</v>
          </cell>
          <cell r="C932" t="str">
            <v>C¸p ngÇm XLPE/PVC/DSTA-0,6 KV- M(3x35+1x16)</v>
          </cell>
          <cell r="D932" t="str">
            <v>m</v>
          </cell>
          <cell r="E932">
            <v>1</v>
          </cell>
          <cell r="F932">
            <v>1.81</v>
          </cell>
          <cell r="G932">
            <v>95204.76</v>
          </cell>
        </row>
        <row r="933">
          <cell r="B933" t="str">
            <v>D-M(3x25+1x16)</v>
          </cell>
          <cell r="C933" t="str">
            <v>C¸p ngÇm XLPE/PVC/DSTA-0,6 KV- M(3x25+1x16)</v>
          </cell>
          <cell r="D933" t="str">
            <v>m</v>
          </cell>
          <cell r="E933">
            <v>1</v>
          </cell>
          <cell r="F933">
            <v>1.47</v>
          </cell>
          <cell r="G933">
            <v>72787.819999999992</v>
          </cell>
        </row>
        <row r="934">
          <cell r="B934" t="str">
            <v>D-M(3x16+1x10)</v>
          </cell>
          <cell r="C934" t="str">
            <v>C¸p ngÇm XLPE/PVC/DSTA-0,6 KV- M(3x16+1x10)</v>
          </cell>
          <cell r="D934" t="str">
            <v>m</v>
          </cell>
          <cell r="E934">
            <v>1</v>
          </cell>
          <cell r="F934">
            <v>1.1299999999999999</v>
          </cell>
          <cell r="G934">
            <v>61302.5</v>
          </cell>
        </row>
        <row r="935">
          <cell r="B935" t="str">
            <v>D-M(3x10+1x8)</v>
          </cell>
          <cell r="C935" t="str">
            <v>C¸p ngÇm XLPE/PVC/DSTA-0,6 KV- M(3x10+1x8)</v>
          </cell>
          <cell r="D935" t="str">
            <v>m</v>
          </cell>
          <cell r="E935">
            <v>1</v>
          </cell>
          <cell r="F935">
            <v>0.83</v>
          </cell>
          <cell r="G935">
            <v>47111.960000000006</v>
          </cell>
        </row>
        <row r="936">
          <cell r="B936" t="str">
            <v>D-M(3x10+1x6)</v>
          </cell>
          <cell r="C936" t="str">
            <v>C¸p ngÇm XLPE/PVC/DSTA-0,6 KV- M(3x10+1x6)</v>
          </cell>
          <cell r="D936" t="str">
            <v>m</v>
          </cell>
          <cell r="E936">
            <v>1</v>
          </cell>
          <cell r="F936">
            <v>0.81</v>
          </cell>
          <cell r="G936">
            <v>44849.7</v>
          </cell>
        </row>
        <row r="937">
          <cell r="B937" t="str">
            <v>M95</v>
          </cell>
          <cell r="C937" t="str">
            <v>C¸p bäc XLPE/PVC-0,6 KV</v>
          </cell>
          <cell r="D937" t="str">
            <v>m</v>
          </cell>
          <cell r="E937">
            <v>1</v>
          </cell>
          <cell r="F937">
            <v>1.01</v>
          </cell>
          <cell r="G937">
            <v>54674.400000000001</v>
          </cell>
        </row>
        <row r="938">
          <cell r="B938" t="str">
            <v>P-M(3x240+1x120)</v>
          </cell>
          <cell r="C938" t="str">
            <v>C¸p bäc XLPE/PVC-0,6 KV- M(3x240+1x120)</v>
          </cell>
          <cell r="D938" t="str">
            <v>m</v>
          </cell>
          <cell r="E938">
            <v>1</v>
          </cell>
          <cell r="F938">
            <v>9.56</v>
          </cell>
          <cell r="G938">
            <v>551501.0199999999</v>
          </cell>
        </row>
        <row r="939">
          <cell r="B939" t="str">
            <v>P-M(3x185+1x95)</v>
          </cell>
          <cell r="C939" t="str">
            <v>C¸p bäc XLPE/PVC-0,6 KV- M(3x185+1x95)</v>
          </cell>
          <cell r="D939" t="str">
            <v>m</v>
          </cell>
          <cell r="E939">
            <v>1</v>
          </cell>
          <cell r="F939">
            <v>7.35</v>
          </cell>
          <cell r="G939">
            <v>423359.01999999996</v>
          </cell>
        </row>
        <row r="940">
          <cell r="B940" t="str">
            <v>P-M(3x150+1x95)</v>
          </cell>
          <cell r="C940" t="str">
            <v>C¸p bäc XLPE/PVC-0,6 KV- M(3x150+1x95)</v>
          </cell>
          <cell r="D940" t="str">
            <v>m</v>
          </cell>
          <cell r="E940">
            <v>1</v>
          </cell>
          <cell r="F940">
            <v>5.94</v>
          </cell>
          <cell r="G940">
            <v>332109.25999999995</v>
          </cell>
        </row>
        <row r="941">
          <cell r="B941" t="str">
            <v>P-M(3x120+1x70)</v>
          </cell>
          <cell r="C941" t="str">
            <v>C¸p bäc XLPE/PVC-0,6 KV- M(3x120+1x70)</v>
          </cell>
          <cell r="D941" t="str">
            <v>m</v>
          </cell>
          <cell r="E941">
            <v>1</v>
          </cell>
          <cell r="F941">
            <v>4.8499999999999996</v>
          </cell>
          <cell r="G941">
            <v>279982.36</v>
          </cell>
        </row>
        <row r="942">
          <cell r="B942" t="str">
            <v>P-M(3x95+1x50)</v>
          </cell>
          <cell r="C942" t="str">
            <v>C¸p bäc XLPE/PVC-0,6 KV- M(3x95+1x50)</v>
          </cell>
          <cell r="D942" t="str">
            <v>m</v>
          </cell>
          <cell r="E942">
            <v>1</v>
          </cell>
          <cell r="F942">
            <v>3.89</v>
          </cell>
          <cell r="G942">
            <v>226653.13999999998</v>
          </cell>
        </row>
        <row r="943">
          <cell r="B943" t="str">
            <v>P-M(3x70+1x50)</v>
          </cell>
          <cell r="C943" t="str">
            <v>C¸p bäc XLPE/PVC-0,6 KV- M(3x70+1x50)</v>
          </cell>
          <cell r="D943" t="str">
            <v>m</v>
          </cell>
          <cell r="E943">
            <v>1</v>
          </cell>
          <cell r="F943">
            <v>3.11</v>
          </cell>
          <cell r="G943">
            <v>165714.5</v>
          </cell>
        </row>
        <row r="944">
          <cell r="B944" t="str">
            <v>P-M(3x70+1x35)</v>
          </cell>
          <cell r="C944" t="str">
            <v>C¸p bäc XLPE/PVC-0,6 KV- M(3x70+1x35)</v>
          </cell>
          <cell r="D944" t="str">
            <v>m</v>
          </cell>
          <cell r="E944">
            <v>1</v>
          </cell>
          <cell r="F944">
            <v>2.86</v>
          </cell>
          <cell r="G944">
            <v>165714.5</v>
          </cell>
        </row>
        <row r="945">
          <cell r="B945" t="str">
            <v>P-M(3x50+1x35)</v>
          </cell>
          <cell r="C945" t="str">
            <v>C¸p bäc XLPE/PVC-0,6 KV- M(3x50+1x35)</v>
          </cell>
          <cell r="D945" t="str">
            <v>m</v>
          </cell>
          <cell r="E945">
            <v>1</v>
          </cell>
          <cell r="F945">
            <v>2.57</v>
          </cell>
          <cell r="G945">
            <v>115280.34</v>
          </cell>
        </row>
        <row r="946">
          <cell r="B946" t="str">
            <v>P-M(3x50+1x25)</v>
          </cell>
          <cell r="C946" t="str">
            <v>C¸p bäc XLPE/PVC-0,6 KV- M(3x50+1x25)</v>
          </cell>
          <cell r="D946" t="str">
            <v>m</v>
          </cell>
          <cell r="E946">
            <v>1</v>
          </cell>
          <cell r="F946">
            <v>2.12</v>
          </cell>
          <cell r="G946">
            <v>115280.34</v>
          </cell>
        </row>
        <row r="947">
          <cell r="B947" t="str">
            <v>P-M(3x35+1x25)</v>
          </cell>
          <cell r="C947" t="str">
            <v>C¸p bäc XLPE/PVC-0,6 KV- M(3x35+1x25)</v>
          </cell>
          <cell r="D947" t="str">
            <v>m</v>
          </cell>
          <cell r="E947">
            <v>1</v>
          </cell>
          <cell r="F947">
            <v>1.89</v>
          </cell>
          <cell r="G947">
            <v>90047.44</v>
          </cell>
        </row>
        <row r="948">
          <cell r="B948" t="str">
            <v>P-M(3x35+1x16)</v>
          </cell>
          <cell r="C948" t="str">
            <v>C¸p bäc XLPE/PVC-0,6 KV- M(3x35+1x16)</v>
          </cell>
          <cell r="D948" t="str">
            <v>m</v>
          </cell>
          <cell r="E948">
            <v>1</v>
          </cell>
          <cell r="F948">
            <v>1.5</v>
          </cell>
          <cell r="G948">
            <v>84874.3</v>
          </cell>
        </row>
        <row r="949">
          <cell r="B949" t="str">
            <v>P-M(3x25+1x16)</v>
          </cell>
          <cell r="C949" t="str">
            <v>C¸p bäc XLPE/PVC-0,6 KV- M(3x25+1x16)</v>
          </cell>
          <cell r="D949" t="str">
            <v>m</v>
          </cell>
          <cell r="E949">
            <v>1</v>
          </cell>
          <cell r="F949">
            <v>1.19</v>
          </cell>
          <cell r="G949">
            <v>64498.14</v>
          </cell>
        </row>
        <row r="950">
          <cell r="B950" t="str">
            <v>P-M(3x16+1x10)</v>
          </cell>
          <cell r="C950" t="str">
            <v>C¸p bäc XLPE/PVC-0,6 KV- M(3x16+1x10)</v>
          </cell>
          <cell r="D950" t="str">
            <v>m</v>
          </cell>
          <cell r="E950">
            <v>1</v>
          </cell>
          <cell r="F950">
            <v>0.9524999999999999</v>
          </cell>
          <cell r="G950">
            <v>44011.24</v>
          </cell>
        </row>
        <row r="951">
          <cell r="B951" t="str">
            <v>P-M(3x10+1x8)</v>
          </cell>
          <cell r="C951" t="str">
            <v>C¸p bäc XLPE/PVC-0,6 KV- M(3x10+1x8)</v>
          </cell>
          <cell r="D951" t="str">
            <v>m</v>
          </cell>
          <cell r="E951">
            <v>1</v>
          </cell>
          <cell r="F951">
            <v>0.62400000000000011</v>
          </cell>
          <cell r="G951">
            <v>29425.200000000001</v>
          </cell>
        </row>
        <row r="952">
          <cell r="B952" t="str">
            <v>P-M(3x10+1x6)</v>
          </cell>
          <cell r="C952" t="str">
            <v>C¸p bäc XLPE/PVC-0,6 KV- M(3x10+1x6)</v>
          </cell>
          <cell r="D952" t="str">
            <v>m</v>
          </cell>
          <cell r="E952">
            <v>1</v>
          </cell>
          <cell r="F952">
            <v>0.60750000000000004</v>
          </cell>
          <cell r="G952">
            <v>28270.34</v>
          </cell>
        </row>
        <row r="953">
          <cell r="B953" t="str">
            <v>P-M(4x10)</v>
          </cell>
          <cell r="C953" t="str">
            <v>C¸p bäc XLPE/PVC-0,6 KV- M(4x10)</v>
          </cell>
          <cell r="D953" t="str">
            <v>m</v>
          </cell>
          <cell r="E953">
            <v>1</v>
          </cell>
          <cell r="F953">
            <v>0.61</v>
          </cell>
          <cell r="G953">
            <v>29789.06</v>
          </cell>
        </row>
        <row r="954">
          <cell r="B954" t="str">
            <v>P-M(4x6)</v>
          </cell>
          <cell r="C954" t="str">
            <v>C¸p bäc XLPE/PVC-0,6 KV- M(4x6)</v>
          </cell>
          <cell r="D954" t="str">
            <v>m</v>
          </cell>
          <cell r="E954">
            <v>1</v>
          </cell>
          <cell r="F954">
            <v>0.42499999999999999</v>
          </cell>
          <cell r="G954">
            <v>19806.64</v>
          </cell>
        </row>
        <row r="955">
          <cell r="B955" t="str">
            <v>P-M(4x4)</v>
          </cell>
          <cell r="C955" t="str">
            <v>C¸p bäc XLPE/PVC-0,6 KV- M(4x4)</v>
          </cell>
          <cell r="D955" t="str">
            <v>m</v>
          </cell>
          <cell r="E955">
            <v>1</v>
          </cell>
          <cell r="F955">
            <v>0.33500000000000002</v>
          </cell>
          <cell r="G955">
            <v>14728.42</v>
          </cell>
        </row>
        <row r="956">
          <cell r="B956" t="str">
            <v>P-M(2x8)</v>
          </cell>
          <cell r="C956" t="str">
            <v>C¸p bäc XLPE/PVC-0,6 KV- M(2x8)</v>
          </cell>
          <cell r="D956" t="str">
            <v>m</v>
          </cell>
          <cell r="E956">
            <v>1</v>
          </cell>
          <cell r="F956">
            <v>0.316</v>
          </cell>
          <cell r="G956">
            <v>14048.16</v>
          </cell>
        </row>
        <row r="957">
          <cell r="B957" t="str">
            <v>P-M(2x4)</v>
          </cell>
          <cell r="C957" t="str">
            <v>C¸p bäc XLPE/PVC-0,6 KV- M(2x4)</v>
          </cell>
          <cell r="D957" t="str">
            <v>m</v>
          </cell>
          <cell r="E957">
            <v>1</v>
          </cell>
          <cell r="F957">
            <v>0.215</v>
          </cell>
          <cell r="G957">
            <v>8131.4800000000005</v>
          </cell>
        </row>
        <row r="958">
          <cell r="B958" t="str">
            <v>P-M(2x2.5)</v>
          </cell>
          <cell r="C958" t="str">
            <v>C¸p bäc XLPE/PVC-0,6 KV- M(2x2.5)</v>
          </cell>
          <cell r="D958" t="str">
            <v>m</v>
          </cell>
          <cell r="E958">
            <v>1</v>
          </cell>
          <cell r="F958">
            <v>0.15</v>
          </cell>
          <cell r="G958">
            <v>6565.2999999999993</v>
          </cell>
        </row>
        <row r="959">
          <cell r="B959" t="str">
            <v>P-M(1x2.5)</v>
          </cell>
          <cell r="C959" t="str">
            <v>C¸p bäc XLPE/PVC-0,6 KV- M(1x2.5)</v>
          </cell>
          <cell r="D959" t="str">
            <v>m</v>
          </cell>
          <cell r="E959">
            <v>1</v>
          </cell>
          <cell r="F959">
            <v>3.3000000000000002E-2</v>
          </cell>
          <cell r="G959">
            <v>4983.3</v>
          </cell>
        </row>
        <row r="960">
          <cell r="C960" t="str">
            <v>C¸p ®iÒu khiÓn</v>
          </cell>
        </row>
        <row r="961">
          <cell r="B961" t="str">
            <v>DK-M(19x2.5)</v>
          </cell>
          <cell r="C961" t="str">
            <v>C¸p ®iÒu khiÓn XLPE/PVC-0,6 KV- M(19x2.5)</v>
          </cell>
          <cell r="D961" t="str">
            <v>m</v>
          </cell>
          <cell r="E961">
            <v>1</v>
          </cell>
          <cell r="F961">
            <v>0.875</v>
          </cell>
          <cell r="G961">
            <v>67772.87999999999</v>
          </cell>
        </row>
        <row r="962">
          <cell r="B962" t="str">
            <v>DK-M(14x2.5)</v>
          </cell>
          <cell r="C962" t="str">
            <v>C¸p ®iÒu khiÓn XLPE/PVC-0,6 KV- M(14x2.5)</v>
          </cell>
          <cell r="D962" t="str">
            <v>m</v>
          </cell>
          <cell r="E962">
            <v>1</v>
          </cell>
          <cell r="F962">
            <v>0.65</v>
          </cell>
          <cell r="G962">
            <v>52000.34</v>
          </cell>
        </row>
        <row r="963">
          <cell r="B963" t="str">
            <v>DK-M(10x2.5)</v>
          </cell>
          <cell r="C963" t="str">
            <v>C¸p ®iÒu khiÓn XLPE/PVC-0,6 KV- M(10x2.5)</v>
          </cell>
          <cell r="D963" t="str">
            <v>m</v>
          </cell>
          <cell r="E963">
            <v>1</v>
          </cell>
          <cell r="F963">
            <v>0.48499999999999999</v>
          </cell>
          <cell r="G963">
            <v>39866.400000000001</v>
          </cell>
        </row>
        <row r="964">
          <cell r="B964" t="str">
            <v>DK-M(7x2.5)</v>
          </cell>
          <cell r="C964" t="str">
            <v>C¸p ®iÒu khiÓn XLPE/PVC-0,6 KV- M(7x2.5)</v>
          </cell>
          <cell r="D964" t="str">
            <v>m</v>
          </cell>
          <cell r="E964">
            <v>1</v>
          </cell>
          <cell r="F964">
            <v>0.35499999999999998</v>
          </cell>
          <cell r="G964">
            <v>28412.720000000001</v>
          </cell>
        </row>
        <row r="965">
          <cell r="B965" t="str">
            <v>DK-M(4x2.5)</v>
          </cell>
          <cell r="C965" t="str">
            <v>C¸p ®iÒu khiÓn XLPE/PVC-0,6 KV- M(4x2.5)</v>
          </cell>
          <cell r="D965" t="str">
            <v>m</v>
          </cell>
          <cell r="E965">
            <v>1</v>
          </cell>
          <cell r="F965">
            <v>0.23499999999999999</v>
          </cell>
          <cell r="G965">
            <v>18446.12</v>
          </cell>
        </row>
        <row r="966">
          <cell r="B966" t="str">
            <v>DK-M(2x2.5)</v>
          </cell>
          <cell r="C966" t="str">
            <v>C¸p ®iÒu khiÓn XLPE/PVC-0,6 KV- M(2x2.5)</v>
          </cell>
          <cell r="D966" t="str">
            <v>m</v>
          </cell>
          <cell r="E966">
            <v>1</v>
          </cell>
          <cell r="F966">
            <v>0.15</v>
          </cell>
          <cell r="G966">
            <v>11959.92</v>
          </cell>
        </row>
        <row r="967">
          <cell r="B967" t="str">
            <v>DK-M(4x4)</v>
          </cell>
          <cell r="C967" t="str">
            <v>C¸p ®iÒu khiÓn XLPE/PVC-0,6 KV- M(4x4)</v>
          </cell>
          <cell r="D967" t="str">
            <v>m</v>
          </cell>
          <cell r="E967">
            <v>1</v>
          </cell>
          <cell r="F967">
            <v>0.28000000000000003</v>
          </cell>
          <cell r="G967">
            <v>19268.759999999998</v>
          </cell>
        </row>
        <row r="968">
          <cell r="B968" t="str">
            <v>DK-M(2x4)</v>
          </cell>
          <cell r="C968" t="str">
            <v>C¸p ®iÒu khiÓn XLPE/PVC-0,6 KV- M(2x4)</v>
          </cell>
          <cell r="D968" t="str">
            <v>m</v>
          </cell>
          <cell r="E968">
            <v>1</v>
          </cell>
          <cell r="F968">
            <v>0.18</v>
          </cell>
          <cell r="G968">
            <v>12466.16</v>
          </cell>
        </row>
        <row r="969">
          <cell r="B969" t="str">
            <v>D©y thÐp</v>
          </cell>
          <cell r="C969" t="str">
            <v>C¸p ngÇm XLPE/PVC/DSTA-0,6 KV- M(1x240)</v>
          </cell>
          <cell r="D969" t="str">
            <v>m</v>
          </cell>
          <cell r="E969">
            <v>1</v>
          </cell>
          <cell r="F969">
            <v>2.984</v>
          </cell>
          <cell r="G969">
            <v>192875.06700000004</v>
          </cell>
        </row>
        <row r="970">
          <cell r="B970" t="str">
            <v>TK-16</v>
          </cell>
          <cell r="C970" t="str">
            <v>D©y thÐp  TK 16</v>
          </cell>
          <cell r="D970" t="str">
            <v>m</v>
          </cell>
          <cell r="E970">
            <v>1</v>
          </cell>
          <cell r="F970">
            <v>0.13800000000000001</v>
          </cell>
          <cell r="G970">
            <v>2216</v>
          </cell>
        </row>
        <row r="971">
          <cell r="B971" t="str">
            <v>TK-25</v>
          </cell>
          <cell r="C971" t="str">
            <v>D©y thÐp  TK 25</v>
          </cell>
          <cell r="D971" t="str">
            <v>m</v>
          </cell>
          <cell r="E971">
            <v>1</v>
          </cell>
          <cell r="F971">
            <v>0.19400000000000001</v>
          </cell>
          <cell r="G971">
            <v>3301</v>
          </cell>
        </row>
        <row r="972">
          <cell r="B972" t="str">
            <v>TK-35</v>
          </cell>
          <cell r="C972" t="str">
            <v>D©y thÐp  TK 35</v>
          </cell>
          <cell r="D972" t="str">
            <v>m</v>
          </cell>
          <cell r="E972">
            <v>1</v>
          </cell>
          <cell r="F972">
            <v>0.27200000000000002</v>
          </cell>
          <cell r="G972">
            <v>4488</v>
          </cell>
        </row>
        <row r="973">
          <cell r="B973" t="str">
            <v>TK-50</v>
          </cell>
          <cell r="C973" t="str">
            <v>D©y thÐp  TK 50</v>
          </cell>
          <cell r="D973" t="str">
            <v>m</v>
          </cell>
          <cell r="E973">
            <v>1</v>
          </cell>
          <cell r="F973">
            <v>0.38900000000000001</v>
          </cell>
          <cell r="G973">
            <v>6418</v>
          </cell>
        </row>
        <row r="974">
          <cell r="B974" t="str">
            <v>TK-70</v>
          </cell>
          <cell r="C974" t="str">
            <v>D©y thÐp  TK 70</v>
          </cell>
          <cell r="D974" t="str">
            <v>m</v>
          </cell>
          <cell r="E974">
            <v>1</v>
          </cell>
          <cell r="F974">
            <v>0.61599999999999999</v>
          </cell>
          <cell r="G974">
            <v>10164</v>
          </cell>
        </row>
        <row r="975">
          <cell r="B975" t="str">
            <v>D-M(1x50)</v>
          </cell>
          <cell r="C975" t="str">
            <v>D©y nÐo</v>
          </cell>
          <cell r="D975" t="str">
            <v>m</v>
          </cell>
          <cell r="E975">
            <v>1</v>
          </cell>
          <cell r="F975">
            <v>0.80700000000000005</v>
          </cell>
          <cell r="G975">
            <v>39766.734000000004</v>
          </cell>
        </row>
        <row r="976">
          <cell r="B976" t="str">
            <v>DN16</v>
          </cell>
          <cell r="C976" t="str">
            <v>C¸p ngÇm XLPE/PVC/DSTA-0,6 KV- M(1x38)</v>
          </cell>
          <cell r="D976" t="str">
            <v>m</v>
          </cell>
          <cell r="E976">
            <v>1</v>
          </cell>
          <cell r="F976">
            <v>0.65900000000000003</v>
          </cell>
          <cell r="G976">
            <v>29707.587</v>
          </cell>
        </row>
        <row r="977">
          <cell r="B977" t="str">
            <v>DN16-8</v>
          </cell>
          <cell r="C977" t="str">
            <v>D©y nÐo    DN16-8</v>
          </cell>
          <cell r="D977" t="str">
            <v>Bé</v>
          </cell>
          <cell r="E977">
            <v>1</v>
          </cell>
          <cell r="F977">
            <v>19.648</v>
          </cell>
          <cell r="G977">
            <v>29026.298700000003</v>
          </cell>
        </row>
        <row r="978">
          <cell r="B978" t="str">
            <v>DN16-9</v>
          </cell>
          <cell r="C978" t="str">
            <v>D©y nÐo    DN16-9</v>
          </cell>
          <cell r="D978" t="str">
            <v>Bé</v>
          </cell>
          <cell r="E978">
            <v>1</v>
          </cell>
          <cell r="F978">
            <v>22.103999999999999</v>
          </cell>
          <cell r="G978">
            <v>24069.339</v>
          </cell>
        </row>
        <row r="979">
          <cell r="B979" t="str">
            <v>DN16-10</v>
          </cell>
          <cell r="C979" t="str">
            <v>D©y nÐo    DN16-10</v>
          </cell>
          <cell r="D979" t="str">
            <v>Bé</v>
          </cell>
          <cell r="E979">
            <v>1</v>
          </cell>
          <cell r="F979">
            <v>24.56</v>
          </cell>
          <cell r="G979">
            <v>21933.638999999999</v>
          </cell>
        </row>
        <row r="980">
          <cell r="B980" t="str">
            <v>DN16-12</v>
          </cell>
          <cell r="C980" t="str">
            <v>D©y nÐo    DN16-12</v>
          </cell>
          <cell r="D980" t="str">
            <v>Bé</v>
          </cell>
          <cell r="E980">
            <v>1</v>
          </cell>
          <cell r="F980">
            <v>29.471999999999998</v>
          </cell>
          <cell r="G980">
            <v>14629.545000000002</v>
          </cell>
        </row>
        <row r="981">
          <cell r="B981" t="str">
            <v>DN16-14</v>
          </cell>
          <cell r="C981" t="str">
            <v>D©y nÐo    DN16-14</v>
          </cell>
          <cell r="D981" t="str">
            <v>Bé</v>
          </cell>
          <cell r="E981">
            <v>1</v>
          </cell>
          <cell r="F981">
            <v>34.384</v>
          </cell>
        </row>
        <row r="982">
          <cell r="B982" t="str">
            <v>DN16-16</v>
          </cell>
          <cell r="C982" t="str">
            <v>D©y nÐo    DN16-16</v>
          </cell>
          <cell r="D982" t="str">
            <v>Bé</v>
          </cell>
          <cell r="E982">
            <v>1</v>
          </cell>
          <cell r="F982">
            <v>39.295999999999999</v>
          </cell>
          <cell r="G982">
            <v>645440.17999999993</v>
          </cell>
        </row>
        <row r="983">
          <cell r="B983" t="str">
            <v>DN16-18</v>
          </cell>
          <cell r="C983" t="str">
            <v>D©y nÐo    DN16-18</v>
          </cell>
          <cell r="D983" t="str">
            <v>Bé</v>
          </cell>
          <cell r="E983">
            <v>1</v>
          </cell>
          <cell r="F983">
            <v>44.207999999999998</v>
          </cell>
          <cell r="G983">
            <v>498852.06</v>
          </cell>
        </row>
        <row r="984">
          <cell r="B984" t="str">
            <v>DN16-20</v>
          </cell>
          <cell r="C984" t="str">
            <v>D©y nÐo    DN16-20</v>
          </cell>
          <cell r="D984" t="str">
            <v>Bé</v>
          </cell>
          <cell r="E984">
            <v>1</v>
          </cell>
          <cell r="F984">
            <v>49.12</v>
          </cell>
          <cell r="G984">
            <v>405957.02</v>
          </cell>
        </row>
        <row r="985">
          <cell r="B985" t="str">
            <v>DN20</v>
          </cell>
          <cell r="C985" t="str">
            <v>C¸p ngÇm XLPE/PVC/DSTA-0,6 KV- M(3x120+1x70)</v>
          </cell>
          <cell r="D985" t="str">
            <v>m</v>
          </cell>
          <cell r="E985">
            <v>1</v>
          </cell>
          <cell r="F985">
            <v>6</v>
          </cell>
          <cell r="G985">
            <v>332283.28000000003</v>
          </cell>
        </row>
        <row r="986">
          <cell r="B986" t="str">
            <v>DN20-8</v>
          </cell>
          <cell r="C986" t="str">
            <v>D©y nÐo    DN20-8</v>
          </cell>
          <cell r="D986" t="str">
            <v>Bé</v>
          </cell>
          <cell r="E986">
            <v>1</v>
          </cell>
          <cell r="F986">
            <v>31.440000000000005</v>
          </cell>
          <cell r="G986">
            <v>16700</v>
          </cell>
        </row>
        <row r="987">
          <cell r="B987" t="str">
            <v>DN20-9</v>
          </cell>
          <cell r="C987" t="str">
            <v>D©y nÐo    DN20-9</v>
          </cell>
          <cell r="D987" t="str">
            <v>Bé</v>
          </cell>
          <cell r="E987">
            <v>1</v>
          </cell>
          <cell r="F987">
            <v>33.910000000000004</v>
          </cell>
          <cell r="G987">
            <v>16700</v>
          </cell>
        </row>
        <row r="988">
          <cell r="B988" t="str">
            <v>DN20-10</v>
          </cell>
          <cell r="C988" t="str">
            <v>D©y nÐo    DN20-10</v>
          </cell>
          <cell r="D988" t="str">
            <v>Bé</v>
          </cell>
          <cell r="E988">
            <v>1</v>
          </cell>
          <cell r="F988">
            <v>36.380000000000003</v>
          </cell>
          <cell r="G988">
            <v>16700</v>
          </cell>
        </row>
        <row r="989">
          <cell r="B989" t="str">
            <v>DN20-12</v>
          </cell>
          <cell r="C989" t="str">
            <v>D©y nÐo    DN20-12</v>
          </cell>
          <cell r="D989" t="str">
            <v>Bé</v>
          </cell>
          <cell r="E989">
            <v>1</v>
          </cell>
          <cell r="F989">
            <v>41.32</v>
          </cell>
          <cell r="G989">
            <v>16700</v>
          </cell>
        </row>
        <row r="990">
          <cell r="B990" t="str">
            <v>DN20-14</v>
          </cell>
          <cell r="C990" t="str">
            <v>D©y nÐo    DN20-14</v>
          </cell>
          <cell r="D990" t="str">
            <v>Bé</v>
          </cell>
          <cell r="E990">
            <v>1</v>
          </cell>
          <cell r="F990">
            <v>46.26</v>
          </cell>
          <cell r="G990">
            <v>16700</v>
          </cell>
        </row>
        <row r="991">
          <cell r="B991" t="str">
            <v>DN20-16</v>
          </cell>
          <cell r="C991" t="str">
            <v>D©y nÐo    DN20-16</v>
          </cell>
          <cell r="D991" t="str">
            <v>Bé</v>
          </cell>
          <cell r="E991">
            <v>1</v>
          </cell>
          <cell r="F991">
            <v>51.2</v>
          </cell>
          <cell r="G991">
            <v>16700</v>
          </cell>
        </row>
        <row r="992">
          <cell r="B992" t="str">
            <v>DN20-18</v>
          </cell>
          <cell r="C992" t="str">
            <v>D©y nÐo    DN20-18</v>
          </cell>
          <cell r="D992" t="str">
            <v>Bé</v>
          </cell>
          <cell r="E992">
            <v>1</v>
          </cell>
          <cell r="F992">
            <v>56.14</v>
          </cell>
          <cell r="G992">
            <v>16700</v>
          </cell>
        </row>
        <row r="993">
          <cell r="B993" t="str">
            <v>DN20-20</v>
          </cell>
          <cell r="C993" t="str">
            <v>D©y nÐo    DN20-20</v>
          </cell>
          <cell r="D993" t="str">
            <v>Bé</v>
          </cell>
          <cell r="E993">
            <v>1</v>
          </cell>
          <cell r="F993">
            <v>61.08</v>
          </cell>
          <cell r="G993">
            <v>16700</v>
          </cell>
        </row>
        <row r="994">
          <cell r="B994" t="str">
            <v>TK35</v>
          </cell>
          <cell r="C994" t="str">
            <v>C¸p ngÇm XLPE/PVC/DSTA-0,6 KV- M(3x16+1x10)</v>
          </cell>
          <cell r="D994" t="str">
            <v>m</v>
          </cell>
          <cell r="E994">
            <v>1</v>
          </cell>
          <cell r="F994">
            <v>1.1299999999999999</v>
          </cell>
          <cell r="G994" t="str">
            <v>®/Kg</v>
          </cell>
        </row>
        <row r="995">
          <cell r="B995" t="str">
            <v>TK35-8</v>
          </cell>
          <cell r="C995" t="str">
            <v>D©y nÐo    TK35-8</v>
          </cell>
          <cell r="D995" t="str">
            <v>Bé</v>
          </cell>
          <cell r="E995">
            <v>1</v>
          </cell>
          <cell r="F995">
            <v>2.97</v>
          </cell>
          <cell r="G995">
            <v>16700</v>
          </cell>
        </row>
        <row r="996">
          <cell r="B996" t="str">
            <v>TK35-9</v>
          </cell>
          <cell r="C996" t="str">
            <v>D©y nÐo    TK35-9</v>
          </cell>
          <cell r="D996" t="str">
            <v>Bé</v>
          </cell>
          <cell r="E996">
            <v>1</v>
          </cell>
          <cell r="F996">
            <v>3.26</v>
          </cell>
          <cell r="G996">
            <v>16700</v>
          </cell>
        </row>
        <row r="997">
          <cell r="B997" t="str">
            <v>TK35-10</v>
          </cell>
          <cell r="C997" t="str">
            <v>D©y nÐo    TK35-10</v>
          </cell>
          <cell r="D997" t="str">
            <v>Bé</v>
          </cell>
          <cell r="E997">
            <v>1</v>
          </cell>
          <cell r="F997">
            <v>3.55</v>
          </cell>
          <cell r="G997">
            <v>16700</v>
          </cell>
        </row>
        <row r="998">
          <cell r="B998" t="str">
            <v>TK35-12</v>
          </cell>
          <cell r="C998" t="str">
            <v>D©y nÐo    TK35-12</v>
          </cell>
          <cell r="D998" t="str">
            <v>Bé</v>
          </cell>
          <cell r="E998">
            <v>1</v>
          </cell>
          <cell r="F998">
            <v>4.13</v>
          </cell>
          <cell r="G998">
            <v>16700</v>
          </cell>
        </row>
        <row r="999">
          <cell r="B999" t="str">
            <v>TK35-14</v>
          </cell>
          <cell r="C999" t="str">
            <v>D©y nÐo    TK35-14</v>
          </cell>
          <cell r="D999" t="str">
            <v>Bé</v>
          </cell>
          <cell r="E999">
            <v>1</v>
          </cell>
          <cell r="F999">
            <v>4.71</v>
          </cell>
          <cell r="G999">
            <v>16700</v>
          </cell>
        </row>
        <row r="1000">
          <cell r="B1000" t="str">
            <v>TK35-16</v>
          </cell>
          <cell r="C1000" t="str">
            <v>D©y nÐo    TK35-16</v>
          </cell>
          <cell r="D1000" t="str">
            <v>Bé</v>
          </cell>
          <cell r="E1000">
            <v>1</v>
          </cell>
          <cell r="F1000">
            <v>5.29</v>
          </cell>
          <cell r="G1000">
            <v>16700</v>
          </cell>
        </row>
        <row r="1001">
          <cell r="B1001" t="str">
            <v>TK35-18</v>
          </cell>
          <cell r="C1001" t="str">
            <v>D©y nÐo    TK35-18</v>
          </cell>
          <cell r="D1001" t="str">
            <v>Bé</v>
          </cell>
          <cell r="E1001">
            <v>1</v>
          </cell>
          <cell r="F1001">
            <v>5.87</v>
          </cell>
          <cell r="G1001">
            <v>16700</v>
          </cell>
        </row>
        <row r="1002">
          <cell r="B1002" t="str">
            <v>TK35-20</v>
          </cell>
          <cell r="C1002" t="str">
            <v>D©y nÐo    TK35-20</v>
          </cell>
          <cell r="D1002" t="str">
            <v>Bé</v>
          </cell>
          <cell r="E1002">
            <v>1</v>
          </cell>
          <cell r="F1002">
            <v>6.45</v>
          </cell>
          <cell r="G1002">
            <v>16700</v>
          </cell>
        </row>
        <row r="1003">
          <cell r="B1003" t="str">
            <v>T§-35</v>
          </cell>
          <cell r="C1003" t="str">
            <v>T¨ng ®¬   T§-35</v>
          </cell>
          <cell r="D1003" t="str">
            <v>Bé</v>
          </cell>
          <cell r="E1003">
            <v>1</v>
          </cell>
          <cell r="F1003">
            <v>9.9</v>
          </cell>
          <cell r="G1003">
            <v>16700</v>
          </cell>
        </row>
        <row r="1004">
          <cell r="B1004" t="str">
            <v>TK50</v>
          </cell>
          <cell r="C1004" t="str">
            <v>C¸p bäc XLPE/PVC-0,6 KV- M(3x70+1x35)</v>
          </cell>
          <cell r="D1004" t="str">
            <v>m</v>
          </cell>
          <cell r="E1004">
            <v>1</v>
          </cell>
          <cell r="F1004">
            <v>2.86</v>
          </cell>
          <cell r="G1004">
            <v>165714.5</v>
          </cell>
        </row>
        <row r="1005">
          <cell r="B1005" t="str">
            <v>TK50-8</v>
          </cell>
          <cell r="C1005" t="str">
            <v>D©y nÐo    TK50-8</v>
          </cell>
          <cell r="D1005" t="str">
            <v>Bé</v>
          </cell>
          <cell r="E1005">
            <v>1</v>
          </cell>
          <cell r="F1005">
            <v>4.3499999999999996</v>
          </cell>
          <cell r="G1005">
            <v>16700</v>
          </cell>
        </row>
        <row r="1006">
          <cell r="B1006" t="str">
            <v>TK50-9</v>
          </cell>
          <cell r="C1006" t="str">
            <v>D©y nÐo    TK50-9</v>
          </cell>
          <cell r="D1006" t="str">
            <v>Bé</v>
          </cell>
          <cell r="E1006">
            <v>1</v>
          </cell>
          <cell r="F1006">
            <v>4.7699999999999996</v>
          </cell>
          <cell r="G1006">
            <v>16700</v>
          </cell>
        </row>
        <row r="1007">
          <cell r="B1007" t="str">
            <v>TK50-10</v>
          </cell>
          <cell r="C1007" t="str">
            <v>D©y nÐo    TK50-10</v>
          </cell>
          <cell r="D1007" t="str">
            <v>Bé</v>
          </cell>
          <cell r="E1007">
            <v>1</v>
          </cell>
          <cell r="F1007">
            <v>5.18</v>
          </cell>
          <cell r="G1007">
            <v>16700</v>
          </cell>
        </row>
        <row r="1008">
          <cell r="B1008" t="str">
            <v>TK50-12</v>
          </cell>
          <cell r="C1008" t="str">
            <v>D©y nÐo    TK50-12</v>
          </cell>
          <cell r="D1008" t="str">
            <v>Bé</v>
          </cell>
          <cell r="E1008">
            <v>1</v>
          </cell>
          <cell r="F1008">
            <v>6.02</v>
          </cell>
          <cell r="G1008">
            <v>16700</v>
          </cell>
        </row>
        <row r="1009">
          <cell r="B1009" t="str">
            <v>TK50-14</v>
          </cell>
          <cell r="C1009" t="str">
            <v>D©y nÐo    TK50-14</v>
          </cell>
          <cell r="D1009" t="str">
            <v>Bé</v>
          </cell>
          <cell r="E1009">
            <v>1</v>
          </cell>
          <cell r="F1009">
            <v>6.8599999999999994</v>
          </cell>
          <cell r="G1009">
            <v>16700</v>
          </cell>
        </row>
        <row r="1010">
          <cell r="B1010" t="str">
            <v>TK50-16</v>
          </cell>
          <cell r="C1010" t="str">
            <v>D©y nÐo    TK50-16</v>
          </cell>
          <cell r="D1010" t="str">
            <v>Bé</v>
          </cell>
          <cell r="E1010">
            <v>1</v>
          </cell>
          <cell r="F1010">
            <v>7.6999999999999993</v>
          </cell>
          <cell r="G1010">
            <v>16700</v>
          </cell>
        </row>
        <row r="1011">
          <cell r="B1011" t="str">
            <v>TK50-18</v>
          </cell>
          <cell r="C1011" t="str">
            <v>D©y nÐo    TK50-18</v>
          </cell>
          <cell r="D1011" t="str">
            <v>Bé</v>
          </cell>
          <cell r="E1011">
            <v>1</v>
          </cell>
          <cell r="F1011">
            <v>8.5399999999999991</v>
          </cell>
          <cell r="G1011">
            <v>16700</v>
          </cell>
        </row>
        <row r="1012">
          <cell r="B1012" t="str">
            <v>TK50-20</v>
          </cell>
          <cell r="C1012" t="str">
            <v>D©y nÐo    TK50-20</v>
          </cell>
          <cell r="D1012" t="str">
            <v>Bé</v>
          </cell>
          <cell r="E1012">
            <v>1</v>
          </cell>
          <cell r="F1012">
            <v>9.379999999999999</v>
          </cell>
          <cell r="G1012">
            <v>16700</v>
          </cell>
        </row>
        <row r="1013">
          <cell r="B1013" t="str">
            <v>T§-50</v>
          </cell>
          <cell r="C1013" t="str">
            <v>T¨ng ®¬   T§-50</v>
          </cell>
          <cell r="D1013" t="str">
            <v>Bé</v>
          </cell>
          <cell r="E1013">
            <v>1</v>
          </cell>
          <cell r="F1013">
            <v>10.16</v>
          </cell>
          <cell r="G1013">
            <v>16700</v>
          </cell>
        </row>
        <row r="1014">
          <cell r="B1014" t="str">
            <v>TK70</v>
          </cell>
          <cell r="C1014" t="str">
            <v>C¸p bäc XLPE/PVC-0,6 KV- M(4x6)</v>
          </cell>
          <cell r="D1014" t="str">
            <v>m</v>
          </cell>
          <cell r="E1014">
            <v>1</v>
          </cell>
          <cell r="F1014">
            <v>0.42499999999999999</v>
          </cell>
          <cell r="G1014">
            <v>19806.64</v>
          </cell>
        </row>
        <row r="1015">
          <cell r="B1015" t="str">
            <v>TK70-8</v>
          </cell>
          <cell r="C1015" t="str">
            <v>D©y nÐo    TK70-8</v>
          </cell>
          <cell r="D1015" t="str">
            <v>Bé</v>
          </cell>
          <cell r="E1015">
            <v>1</v>
          </cell>
          <cell r="F1015">
            <v>6.49</v>
          </cell>
          <cell r="G1015">
            <v>16700</v>
          </cell>
        </row>
        <row r="1016">
          <cell r="B1016" t="str">
            <v>TK70-9</v>
          </cell>
          <cell r="C1016" t="str">
            <v>D©y nÐo    TK70-9</v>
          </cell>
          <cell r="D1016" t="str">
            <v>Bé</v>
          </cell>
          <cell r="E1016">
            <v>1</v>
          </cell>
          <cell r="F1016">
            <v>7.11</v>
          </cell>
          <cell r="G1016">
            <v>16700</v>
          </cell>
        </row>
        <row r="1017">
          <cell r="B1017" t="str">
            <v>TK70-10</v>
          </cell>
          <cell r="C1017" t="str">
            <v>D©y nÐo    TK70-10</v>
          </cell>
          <cell r="D1017" t="str">
            <v>Bé</v>
          </cell>
          <cell r="E1017">
            <v>1</v>
          </cell>
          <cell r="F1017">
            <v>7.73</v>
          </cell>
          <cell r="G1017">
            <v>16700</v>
          </cell>
        </row>
        <row r="1018">
          <cell r="B1018" t="str">
            <v>TK70-12</v>
          </cell>
          <cell r="C1018" t="str">
            <v>D©y nÐo    TK70-12</v>
          </cell>
          <cell r="D1018" t="str">
            <v>Bé</v>
          </cell>
          <cell r="E1018">
            <v>1</v>
          </cell>
          <cell r="F1018">
            <v>8.35</v>
          </cell>
          <cell r="G1018">
            <v>16700</v>
          </cell>
        </row>
        <row r="1019">
          <cell r="B1019" t="str">
            <v>TK70-14</v>
          </cell>
          <cell r="C1019" t="str">
            <v>D©y nÐo    TK70-14</v>
          </cell>
          <cell r="D1019" t="str">
            <v>Bé</v>
          </cell>
          <cell r="E1019">
            <v>1</v>
          </cell>
          <cell r="F1019">
            <v>8.9699999999999989</v>
          </cell>
          <cell r="G1019">
            <v>16700</v>
          </cell>
        </row>
        <row r="1020">
          <cell r="B1020" t="str">
            <v>TK70-16</v>
          </cell>
          <cell r="C1020" t="str">
            <v>D©y nÐo    TK70-16</v>
          </cell>
          <cell r="D1020" t="str">
            <v>Bé</v>
          </cell>
          <cell r="E1020">
            <v>1</v>
          </cell>
          <cell r="F1020">
            <v>9.5899999999999981</v>
          </cell>
          <cell r="G1020">
            <v>16700</v>
          </cell>
        </row>
        <row r="1021">
          <cell r="B1021" t="str">
            <v>TK70-18</v>
          </cell>
          <cell r="C1021" t="str">
            <v>D©y nÐo    TK70-18</v>
          </cell>
          <cell r="D1021" t="str">
            <v>Bé</v>
          </cell>
          <cell r="E1021">
            <v>1</v>
          </cell>
          <cell r="F1021">
            <v>10.209999999999997</v>
          </cell>
          <cell r="G1021">
            <v>16700</v>
          </cell>
        </row>
        <row r="1022">
          <cell r="B1022" t="str">
            <v>TK70-20</v>
          </cell>
          <cell r="C1022" t="str">
            <v>D©y nÐo    TK70-20</v>
          </cell>
          <cell r="D1022" t="str">
            <v>Bé</v>
          </cell>
          <cell r="E1022">
            <v>1</v>
          </cell>
          <cell r="F1022">
            <v>10.829999999999997</v>
          </cell>
          <cell r="G1022">
            <v>16700</v>
          </cell>
        </row>
        <row r="1023">
          <cell r="B1023" t="str">
            <v>T§-70</v>
          </cell>
          <cell r="C1023" t="str">
            <v>T¨ng ®¬   T§-70</v>
          </cell>
          <cell r="D1023" t="str">
            <v>Bé</v>
          </cell>
          <cell r="E1023">
            <v>1</v>
          </cell>
          <cell r="F1023">
            <v>10.16</v>
          </cell>
          <cell r="G1023">
            <v>16700</v>
          </cell>
        </row>
        <row r="1024">
          <cell r="B1024" t="str">
            <v>DK-M(7x2.5)</v>
          </cell>
          <cell r="C1024" t="str">
            <v>èng c¸c lo¹i</v>
          </cell>
          <cell r="D1024" t="str">
            <v>m</v>
          </cell>
          <cell r="E1024">
            <v>1</v>
          </cell>
          <cell r="F1024">
            <v>0.35499999999999998</v>
          </cell>
          <cell r="G1024">
            <v>28412.720000000001</v>
          </cell>
        </row>
        <row r="1025">
          <cell r="B1025" t="str">
            <v>fi200 thep</v>
          </cell>
          <cell r="C1025" t="str">
            <v>èng thÐp tr¸ng kÏm fi 200</v>
          </cell>
          <cell r="D1025" t="str">
            <v>m</v>
          </cell>
          <cell r="E1025">
            <v>1</v>
          </cell>
          <cell r="F1025">
            <v>7.8</v>
          </cell>
          <cell r="G1025">
            <v>215000</v>
          </cell>
        </row>
        <row r="1026">
          <cell r="B1026" t="str">
            <v>fi150 thep</v>
          </cell>
          <cell r="C1026" t="str">
            <v>èng thÐp tr¸ng kÏm fi 150</v>
          </cell>
          <cell r="D1026" t="str">
            <v>m</v>
          </cell>
          <cell r="E1026">
            <v>1</v>
          </cell>
          <cell r="F1026">
            <v>7.8</v>
          </cell>
          <cell r="G1026">
            <v>155000</v>
          </cell>
        </row>
        <row r="1027">
          <cell r="B1027" t="str">
            <v>fi140 thep</v>
          </cell>
          <cell r="C1027" t="str">
            <v>èng thÐp tr¸ng kÏm fi 140</v>
          </cell>
          <cell r="D1027" t="str">
            <v>m</v>
          </cell>
          <cell r="E1027">
            <v>1</v>
          </cell>
          <cell r="F1027">
            <v>7.01</v>
          </cell>
          <cell r="G1027">
            <v>149000</v>
          </cell>
        </row>
        <row r="1028">
          <cell r="B1028" t="str">
            <v>fi130 thep</v>
          </cell>
          <cell r="C1028" t="str">
            <v>èng thÐp tr¸ng kÏm fi 130</v>
          </cell>
          <cell r="D1028" t="str">
            <v>m</v>
          </cell>
          <cell r="E1028">
            <v>1</v>
          </cell>
          <cell r="F1028">
            <v>6.21</v>
          </cell>
          <cell r="G1028">
            <v>138000</v>
          </cell>
        </row>
        <row r="1029">
          <cell r="B1029" t="str">
            <v>fi120 thep</v>
          </cell>
          <cell r="C1029" t="str">
            <v>èng thÐp tr¸ng kÏm fi 120</v>
          </cell>
          <cell r="D1029" t="str">
            <v>m</v>
          </cell>
          <cell r="E1029">
            <v>1</v>
          </cell>
          <cell r="F1029">
            <v>5.68</v>
          </cell>
          <cell r="G1029">
            <v>121000</v>
          </cell>
        </row>
        <row r="1030">
          <cell r="B1030" t="str">
            <v>fi110 thep</v>
          </cell>
          <cell r="C1030" t="str">
            <v>èng thÐp tr¸ng kÏm fi 110</v>
          </cell>
          <cell r="D1030" t="str">
            <v>m</v>
          </cell>
          <cell r="E1030">
            <v>1</v>
          </cell>
          <cell r="F1030">
            <v>5.05</v>
          </cell>
          <cell r="G1030">
            <v>117000</v>
          </cell>
        </row>
        <row r="1031">
          <cell r="B1031" t="str">
            <v>fi100 thep</v>
          </cell>
          <cell r="C1031" t="str">
            <v>èng thÐp tr¸ng kÏm fi 100</v>
          </cell>
          <cell r="D1031" t="str">
            <v>m</v>
          </cell>
          <cell r="E1031">
            <v>1</v>
          </cell>
          <cell r="F1031">
            <v>4.78</v>
          </cell>
          <cell r="G1031">
            <v>105000</v>
          </cell>
        </row>
        <row r="1032">
          <cell r="B1032" t="str">
            <v>fi90 thep</v>
          </cell>
          <cell r="C1032" t="str">
            <v>èng thÐp tr¸ng kÏm fi 90</v>
          </cell>
          <cell r="D1032" t="str">
            <v>m</v>
          </cell>
          <cell r="E1032">
            <v>1</v>
          </cell>
          <cell r="F1032">
            <v>4.3499999999999996</v>
          </cell>
          <cell r="G1032">
            <v>98700</v>
          </cell>
        </row>
        <row r="1033">
          <cell r="B1033" t="str">
            <v>fi80 thep</v>
          </cell>
          <cell r="C1033" t="str">
            <v>èng thÐp tr¸ng kÏm fi 80</v>
          </cell>
          <cell r="D1033" t="str">
            <v>m</v>
          </cell>
          <cell r="E1033">
            <v>1</v>
          </cell>
          <cell r="F1033">
            <v>3.78</v>
          </cell>
          <cell r="G1033">
            <v>81700</v>
          </cell>
        </row>
        <row r="1034">
          <cell r="B1034" t="str">
            <v>fi170 thep</v>
          </cell>
          <cell r="C1034" t="str">
            <v>èng thÐp tr¸ng kÏm fi 70</v>
          </cell>
          <cell r="D1034" t="str">
            <v>m</v>
          </cell>
          <cell r="E1034">
            <v>1</v>
          </cell>
          <cell r="F1034">
            <v>3.06</v>
          </cell>
          <cell r="G1034">
            <v>72000</v>
          </cell>
        </row>
        <row r="1035">
          <cell r="B1035" t="str">
            <v>fi160 thep</v>
          </cell>
          <cell r="C1035" t="str">
            <v>èng thÐp tr¸ng kÏm fi 60</v>
          </cell>
          <cell r="D1035" t="str">
            <v>m</v>
          </cell>
          <cell r="E1035">
            <v>1</v>
          </cell>
          <cell r="F1035">
            <v>2.4500000000000002</v>
          </cell>
          <cell r="G1035">
            <v>65000</v>
          </cell>
        </row>
        <row r="1036">
          <cell r="B1036" t="str">
            <v>fi50 thep</v>
          </cell>
          <cell r="C1036" t="str">
            <v>èng thÐp tr¸ng kÏm fi 50</v>
          </cell>
          <cell r="D1036" t="str">
            <v>m</v>
          </cell>
          <cell r="E1036">
            <v>1</v>
          </cell>
          <cell r="F1036">
            <v>2.15</v>
          </cell>
          <cell r="G1036">
            <v>54670</v>
          </cell>
        </row>
        <row r="1037">
          <cell r="B1037" t="str">
            <v>fi42 thep</v>
          </cell>
          <cell r="C1037" t="str">
            <v>èng thÐp tr¸ng kÏm fi 42</v>
          </cell>
          <cell r="D1037" t="str">
            <v>m</v>
          </cell>
          <cell r="E1037">
            <v>1</v>
          </cell>
          <cell r="F1037">
            <v>1.96</v>
          </cell>
          <cell r="G1037">
            <v>45700</v>
          </cell>
        </row>
        <row r="1038">
          <cell r="B1038" t="str">
            <v>fi36 thep</v>
          </cell>
          <cell r="C1038" t="str">
            <v>èng thÐp tr¸ng kÏm fi 36</v>
          </cell>
          <cell r="D1038" t="str">
            <v>m</v>
          </cell>
          <cell r="E1038">
            <v>1</v>
          </cell>
          <cell r="F1038">
            <v>1.89</v>
          </cell>
          <cell r="G1038">
            <v>37210</v>
          </cell>
        </row>
        <row r="1039">
          <cell r="B1039" t="str">
            <v>fi27 thep</v>
          </cell>
          <cell r="C1039" t="str">
            <v>èng thÐp tr¸ng kÏm fi 27</v>
          </cell>
          <cell r="D1039" t="str">
            <v>m</v>
          </cell>
          <cell r="E1039">
            <v>1</v>
          </cell>
          <cell r="F1039">
            <v>1.67</v>
          </cell>
          <cell r="G1039">
            <v>31100</v>
          </cell>
        </row>
        <row r="1040">
          <cell r="B1040" t="str">
            <v>DN16-12</v>
          </cell>
          <cell r="C1040" t="str">
            <v>èng c¸c lo¹i</v>
          </cell>
          <cell r="D1040" t="str">
            <v>Bé</v>
          </cell>
          <cell r="E1040">
            <v>1</v>
          </cell>
          <cell r="F1040">
            <v>29.471999999999998</v>
          </cell>
        </row>
        <row r="1041">
          <cell r="B1041" t="str">
            <v>fi150 nhua</v>
          </cell>
          <cell r="C1041" t="str">
            <v>èng nhùa fi 150</v>
          </cell>
          <cell r="D1041" t="str">
            <v>m</v>
          </cell>
          <cell r="E1041">
            <v>1</v>
          </cell>
          <cell r="F1041">
            <v>3.16</v>
          </cell>
          <cell r="G1041">
            <v>52000</v>
          </cell>
        </row>
        <row r="1042">
          <cell r="B1042" t="str">
            <v>fi140 nhua</v>
          </cell>
          <cell r="C1042" t="str">
            <v>èng nhùa fi 140</v>
          </cell>
          <cell r="D1042" t="str">
            <v>m</v>
          </cell>
          <cell r="E1042">
            <v>1</v>
          </cell>
          <cell r="F1042">
            <v>2.78</v>
          </cell>
          <cell r="G1042">
            <v>47500</v>
          </cell>
        </row>
        <row r="1043">
          <cell r="B1043" t="str">
            <v>fi130 nhua</v>
          </cell>
          <cell r="C1043" t="str">
            <v>èng nhùa fi 130</v>
          </cell>
          <cell r="D1043" t="str">
            <v>m</v>
          </cell>
          <cell r="E1043">
            <v>1</v>
          </cell>
          <cell r="F1043">
            <v>2.56</v>
          </cell>
          <cell r="G1043">
            <v>43800</v>
          </cell>
        </row>
        <row r="1044">
          <cell r="B1044" t="str">
            <v>fi120 nhua</v>
          </cell>
          <cell r="C1044" t="str">
            <v>èng nhùa fi 120</v>
          </cell>
          <cell r="D1044" t="str">
            <v>m</v>
          </cell>
          <cell r="E1044">
            <v>1</v>
          </cell>
          <cell r="F1044">
            <v>2.4300000000000002</v>
          </cell>
          <cell r="G1044">
            <v>39500</v>
          </cell>
        </row>
        <row r="1045">
          <cell r="B1045" t="str">
            <v>fi110 nhua</v>
          </cell>
          <cell r="C1045" t="str">
            <v>èng nhùa fi 110</v>
          </cell>
          <cell r="D1045" t="str">
            <v>m</v>
          </cell>
          <cell r="E1045">
            <v>1</v>
          </cell>
          <cell r="F1045">
            <v>2.25</v>
          </cell>
          <cell r="G1045">
            <v>38500</v>
          </cell>
        </row>
        <row r="1046">
          <cell r="B1046" t="str">
            <v>fi100 nhua</v>
          </cell>
          <cell r="C1046" t="str">
            <v>èng nhùa fi 100</v>
          </cell>
          <cell r="D1046" t="str">
            <v>m</v>
          </cell>
          <cell r="E1046">
            <v>1</v>
          </cell>
          <cell r="F1046">
            <v>2.06</v>
          </cell>
          <cell r="G1046">
            <v>37900</v>
          </cell>
        </row>
        <row r="1047">
          <cell r="B1047" t="str">
            <v>fi190 nhua</v>
          </cell>
          <cell r="C1047" t="str">
            <v>èng nhùa fi 90</v>
          </cell>
          <cell r="D1047" t="str">
            <v>m</v>
          </cell>
          <cell r="E1047">
            <v>1</v>
          </cell>
          <cell r="F1047">
            <v>1.78</v>
          </cell>
          <cell r="G1047">
            <v>35500</v>
          </cell>
        </row>
        <row r="1048">
          <cell r="B1048" t="str">
            <v>fi180 nhua</v>
          </cell>
          <cell r="C1048" t="str">
            <v>èng nhùa fi 80</v>
          </cell>
          <cell r="D1048" t="str">
            <v>m</v>
          </cell>
          <cell r="E1048">
            <v>1</v>
          </cell>
          <cell r="F1048">
            <v>1.65</v>
          </cell>
          <cell r="G1048">
            <v>33970</v>
          </cell>
        </row>
        <row r="1049">
          <cell r="B1049" t="str">
            <v>fi70 nhua</v>
          </cell>
          <cell r="C1049" t="str">
            <v>èng nhùa fi 70</v>
          </cell>
          <cell r="D1049" t="str">
            <v>m</v>
          </cell>
          <cell r="E1049">
            <v>1</v>
          </cell>
          <cell r="F1049">
            <v>1.35</v>
          </cell>
          <cell r="G1049">
            <v>31500</v>
          </cell>
        </row>
        <row r="1050">
          <cell r="B1050" t="str">
            <v>fi60 nhua</v>
          </cell>
          <cell r="C1050" t="str">
            <v>èng nhùa fi 60</v>
          </cell>
          <cell r="D1050" t="str">
            <v>m</v>
          </cell>
          <cell r="E1050">
            <v>1</v>
          </cell>
          <cell r="F1050">
            <v>1.21</v>
          </cell>
          <cell r="G1050">
            <v>29500</v>
          </cell>
        </row>
        <row r="1051">
          <cell r="B1051" t="str">
            <v>fi50 nhua</v>
          </cell>
          <cell r="C1051" t="str">
            <v>èng nhùa fi 50</v>
          </cell>
          <cell r="D1051" t="str">
            <v>m</v>
          </cell>
          <cell r="E1051">
            <v>1</v>
          </cell>
          <cell r="F1051">
            <v>1.05</v>
          </cell>
          <cell r="G1051">
            <v>27100</v>
          </cell>
        </row>
        <row r="1052">
          <cell r="B1052" t="str">
            <v>fi42 nhua</v>
          </cell>
          <cell r="C1052" t="str">
            <v>èng nhùa fi 42</v>
          </cell>
          <cell r="D1052" t="str">
            <v>m</v>
          </cell>
          <cell r="E1052">
            <v>1</v>
          </cell>
          <cell r="F1052">
            <v>0.67</v>
          </cell>
          <cell r="G1052">
            <v>25300</v>
          </cell>
        </row>
        <row r="1053">
          <cell r="B1053" t="str">
            <v>fi40 nhua</v>
          </cell>
          <cell r="C1053" t="str">
            <v>èng nhùa fi 40</v>
          </cell>
          <cell r="D1053" t="str">
            <v>m</v>
          </cell>
          <cell r="E1053">
            <v>1</v>
          </cell>
          <cell r="F1053">
            <v>0.67</v>
          </cell>
          <cell r="G1053">
            <v>23110</v>
          </cell>
        </row>
        <row r="1054">
          <cell r="B1054" t="str">
            <v>fi30 nhua</v>
          </cell>
          <cell r="C1054" t="str">
            <v>èng nhùa fi 30</v>
          </cell>
          <cell r="D1054" t="str">
            <v>m</v>
          </cell>
          <cell r="E1054">
            <v>1</v>
          </cell>
          <cell r="F1054">
            <v>0.67</v>
          </cell>
          <cell r="G1054">
            <v>19100</v>
          </cell>
        </row>
        <row r="1055">
          <cell r="B1055" t="str">
            <v>TK35-8</v>
          </cell>
          <cell r="C1055" t="str">
            <v>D©y nÐo    TK35-8</v>
          </cell>
          <cell r="D1055" t="str">
            <v>Bé</v>
          </cell>
          <cell r="E1055">
            <v>1</v>
          </cell>
          <cell r="F1055">
            <v>2.97</v>
          </cell>
          <cell r="G1055">
            <v>16700</v>
          </cell>
        </row>
        <row r="1056">
          <cell r="B1056" t="str">
            <v>TK35-9</v>
          </cell>
          <cell r="C1056" t="str">
            <v>Vá c¸c lo¹i</v>
          </cell>
          <cell r="D1056" t="str">
            <v>Bé</v>
          </cell>
          <cell r="E1056">
            <v>1</v>
          </cell>
          <cell r="F1056">
            <v>3.26</v>
          </cell>
          <cell r="G1056">
            <v>16700</v>
          </cell>
        </row>
        <row r="1057">
          <cell r="B1057" t="str">
            <v>VT§-400V</v>
          </cell>
          <cell r="C1057" t="str">
            <v>Vá tñ ®iÖn VT§-400V</v>
          </cell>
          <cell r="D1057" t="str">
            <v>C¸i</v>
          </cell>
          <cell r="E1057" t="str">
            <v>1</v>
          </cell>
          <cell r="F1057">
            <v>145</v>
          </cell>
          <cell r="G1057">
            <v>2156770</v>
          </cell>
        </row>
        <row r="1058">
          <cell r="B1058" t="str">
            <v>VTB-400V</v>
          </cell>
          <cell r="C1058" t="str">
            <v>Vá tñ tô bï VTB-400V</v>
          </cell>
          <cell r="D1058" t="str">
            <v>C¸i</v>
          </cell>
          <cell r="E1058" t="str">
            <v>1</v>
          </cell>
          <cell r="F1058">
            <v>145</v>
          </cell>
          <cell r="G1058">
            <v>2156770</v>
          </cell>
        </row>
        <row r="1059">
          <cell r="B1059" t="str">
            <v>VT§-PP</v>
          </cell>
          <cell r="C1059" t="str">
            <v>Vá tñ ®iÖn ph©n phèi    VT§-PP</v>
          </cell>
          <cell r="D1059" t="str">
            <v>C¸i</v>
          </cell>
          <cell r="E1059" t="str">
            <v>1</v>
          </cell>
          <cell r="F1059">
            <v>56</v>
          </cell>
          <cell r="G1059">
            <v>1050000</v>
          </cell>
        </row>
        <row r="1060">
          <cell r="B1060" t="str">
            <v>VHCD-6</v>
          </cell>
          <cell r="C1060" t="str">
            <v>Vá hép chia d©y VHCD-6</v>
          </cell>
          <cell r="D1060" t="str">
            <v>C¸i</v>
          </cell>
          <cell r="E1060" t="str">
            <v>1</v>
          </cell>
          <cell r="F1060">
            <v>21.67</v>
          </cell>
          <cell r="G1060">
            <v>41500</v>
          </cell>
        </row>
        <row r="1061">
          <cell r="B1061" t="str">
            <v>VHCD-9</v>
          </cell>
          <cell r="C1061" t="str">
            <v>Vá hép chia d©y VHCD-9</v>
          </cell>
          <cell r="D1061" t="str">
            <v>C¸i</v>
          </cell>
          <cell r="E1061" t="str">
            <v>1</v>
          </cell>
          <cell r="F1061">
            <v>21.67</v>
          </cell>
          <cell r="G1061">
            <v>58000</v>
          </cell>
        </row>
        <row r="1062">
          <cell r="B1062" t="str">
            <v>TK35-20</v>
          </cell>
          <cell r="C1062" t="str">
            <v>Tñ ®iÖn c¸c lo¹i</v>
          </cell>
          <cell r="D1062" t="str">
            <v>Bé</v>
          </cell>
          <cell r="E1062">
            <v>1</v>
          </cell>
          <cell r="F1062">
            <v>6.45</v>
          </cell>
          <cell r="G1062">
            <v>16700</v>
          </cell>
        </row>
        <row r="1063">
          <cell r="B1063" t="str">
            <v>T§-PP</v>
          </cell>
          <cell r="C1063" t="str">
            <v>Tñ ®iÖn ph©n phèi vµo nhµ</v>
          </cell>
          <cell r="D1063" t="str">
            <v>C¸i</v>
          </cell>
          <cell r="E1063" t="str">
            <v>1</v>
          </cell>
          <cell r="F1063">
            <v>21.67</v>
          </cell>
          <cell r="G1063">
            <v>5000000</v>
          </cell>
        </row>
        <row r="1064">
          <cell r="B1064" t="str">
            <v>HCD-6</v>
          </cell>
          <cell r="C1064" t="str">
            <v>Hép chia d©y HCD-6</v>
          </cell>
          <cell r="D1064" t="str">
            <v>C¸i</v>
          </cell>
          <cell r="E1064" t="str">
            <v>1</v>
          </cell>
          <cell r="F1064">
            <v>21.67</v>
          </cell>
          <cell r="G1064">
            <v>473000</v>
          </cell>
        </row>
        <row r="1065">
          <cell r="B1065" t="str">
            <v>HCD-9</v>
          </cell>
          <cell r="C1065" t="str">
            <v>Hép chia d©y HCD-9</v>
          </cell>
          <cell r="D1065" t="str">
            <v>C¸i</v>
          </cell>
          <cell r="E1065" t="str">
            <v>1</v>
          </cell>
          <cell r="F1065">
            <v>21.67</v>
          </cell>
          <cell r="G1065">
            <v>637000</v>
          </cell>
        </row>
        <row r="1066">
          <cell r="B1066" t="str">
            <v>TK50-9</v>
          </cell>
          <cell r="C1066" t="str">
            <v>¸p t« m¸t</v>
          </cell>
          <cell r="D1066" t="str">
            <v>Bé</v>
          </cell>
          <cell r="E1066">
            <v>1</v>
          </cell>
          <cell r="F1066">
            <v>4.7699999999999996</v>
          </cell>
          <cell r="G1066">
            <v>16700</v>
          </cell>
        </row>
        <row r="1067">
          <cell r="B1067" t="str">
            <v>TK50-10</v>
          </cell>
          <cell r="C1067" t="str">
            <v>¸p t« m¸t 3 cùc</v>
          </cell>
          <cell r="D1067" t="str">
            <v>Bé</v>
          </cell>
          <cell r="E1067">
            <v>1</v>
          </cell>
          <cell r="F1067">
            <v>5.18</v>
          </cell>
          <cell r="G1067">
            <v>16700</v>
          </cell>
        </row>
        <row r="1068">
          <cell r="B1068" t="str">
            <v>MCCB-3f-10A</v>
          </cell>
          <cell r="C1068" t="str">
            <v>¸p t« m¸t 3 pha 600 V - 10 A</v>
          </cell>
          <cell r="D1068" t="str">
            <v>C¸i</v>
          </cell>
          <cell r="E1068" t="str">
            <v>1</v>
          </cell>
          <cell r="F1068">
            <v>0.5</v>
          </cell>
          <cell r="G1068">
            <v>65000</v>
          </cell>
        </row>
        <row r="1069">
          <cell r="B1069" t="str">
            <v>MCCB-3f-15A</v>
          </cell>
          <cell r="C1069" t="str">
            <v>¸p t« m¸t 3 pha 600 V - 15 A</v>
          </cell>
          <cell r="D1069" t="str">
            <v>C¸i</v>
          </cell>
          <cell r="E1069" t="str">
            <v>1</v>
          </cell>
          <cell r="F1069">
            <v>0.5</v>
          </cell>
          <cell r="G1069">
            <v>65000</v>
          </cell>
        </row>
        <row r="1070">
          <cell r="B1070" t="str">
            <v>MCCB-3f-20A</v>
          </cell>
          <cell r="C1070" t="str">
            <v>¸p t« m¸t 3 pha 600 V - 20 A</v>
          </cell>
          <cell r="D1070" t="str">
            <v>C¸i</v>
          </cell>
          <cell r="E1070" t="str">
            <v>1</v>
          </cell>
          <cell r="F1070">
            <v>0.5</v>
          </cell>
          <cell r="G1070">
            <v>65000</v>
          </cell>
        </row>
        <row r="1071">
          <cell r="B1071" t="str">
            <v>MCCB-3f-30A</v>
          </cell>
          <cell r="C1071" t="str">
            <v>¸p t« m¸t 3 pha 600 V - 30 A</v>
          </cell>
          <cell r="D1071" t="str">
            <v>C¸i</v>
          </cell>
          <cell r="E1071" t="str">
            <v>1</v>
          </cell>
          <cell r="F1071">
            <v>0.5</v>
          </cell>
          <cell r="G1071">
            <v>105000</v>
          </cell>
        </row>
        <row r="1072">
          <cell r="B1072" t="str">
            <v>MCCB-3f-40A</v>
          </cell>
          <cell r="C1072" t="str">
            <v>¸p t« m¸t 3 pha 600 V - 40 A</v>
          </cell>
          <cell r="D1072" t="str">
            <v>C¸i</v>
          </cell>
          <cell r="E1072" t="str">
            <v>1</v>
          </cell>
          <cell r="F1072">
            <v>0.5</v>
          </cell>
          <cell r="G1072">
            <v>165000</v>
          </cell>
        </row>
        <row r="1073">
          <cell r="B1073" t="str">
            <v>MCCB-3f-50A</v>
          </cell>
          <cell r="C1073" t="str">
            <v>¸p t« m¸t 3 pha 600 V - 50 A</v>
          </cell>
          <cell r="D1073" t="str">
            <v>C¸i</v>
          </cell>
          <cell r="E1073" t="str">
            <v>1</v>
          </cell>
          <cell r="F1073">
            <v>0.5</v>
          </cell>
          <cell r="G1073">
            <v>195000</v>
          </cell>
        </row>
        <row r="1074">
          <cell r="B1074" t="str">
            <v>MCCB-3f-75A</v>
          </cell>
          <cell r="C1074" t="str">
            <v>¸p t« m¸t 3 pha 600 V - 75 A</v>
          </cell>
          <cell r="D1074" t="str">
            <v>C¸i</v>
          </cell>
          <cell r="E1074" t="str">
            <v>1</v>
          </cell>
          <cell r="F1074">
            <v>0.78</v>
          </cell>
          <cell r="G1074">
            <v>335000</v>
          </cell>
        </row>
        <row r="1075">
          <cell r="B1075" t="str">
            <v>MCCB-3f-100A</v>
          </cell>
          <cell r="C1075" t="str">
            <v>¸p t« m¸t 3 pha 600 V - 100 A</v>
          </cell>
          <cell r="D1075" t="str">
            <v>C¸i</v>
          </cell>
          <cell r="E1075" t="str">
            <v>1</v>
          </cell>
          <cell r="F1075">
            <v>0.96</v>
          </cell>
          <cell r="G1075">
            <v>565000</v>
          </cell>
        </row>
        <row r="1076">
          <cell r="B1076" t="str">
            <v>MCCB-3f-150A</v>
          </cell>
          <cell r="C1076" t="str">
            <v>¸p t« m¸t 3 pha 600 V - 150 A</v>
          </cell>
          <cell r="D1076" t="str">
            <v>C¸i</v>
          </cell>
          <cell r="E1076" t="str">
            <v>1</v>
          </cell>
          <cell r="F1076">
            <v>1.1000000000000001</v>
          </cell>
          <cell r="G1076">
            <v>815000</v>
          </cell>
        </row>
        <row r="1077">
          <cell r="B1077" t="str">
            <v>MCCB-3f-200A</v>
          </cell>
          <cell r="C1077" t="str">
            <v>¸p t« m¸t 3 pha 600 V - 200 A</v>
          </cell>
          <cell r="D1077" t="str">
            <v>C¸i</v>
          </cell>
          <cell r="E1077" t="str">
            <v>1</v>
          </cell>
          <cell r="F1077">
            <v>1.21</v>
          </cell>
          <cell r="G1077">
            <v>1720000</v>
          </cell>
        </row>
        <row r="1078">
          <cell r="B1078" t="str">
            <v>MCCB-3f-250A</v>
          </cell>
          <cell r="C1078" t="str">
            <v>¸p t« m¸t 3 pha 600 V - 250 A</v>
          </cell>
          <cell r="D1078" t="str">
            <v>C¸i</v>
          </cell>
          <cell r="E1078" t="str">
            <v>1</v>
          </cell>
          <cell r="F1078">
            <v>1.33</v>
          </cell>
          <cell r="G1078">
            <v>1720000</v>
          </cell>
        </row>
        <row r="1079">
          <cell r="B1079" t="str">
            <v>MCCB-3f-300A</v>
          </cell>
          <cell r="C1079" t="str">
            <v>¸p t« m¸t 3 pha 600 V - 300 A</v>
          </cell>
          <cell r="D1079" t="str">
            <v>C¸i</v>
          </cell>
          <cell r="E1079" t="str">
            <v>1</v>
          </cell>
          <cell r="F1079">
            <v>1.45</v>
          </cell>
          <cell r="G1079">
            <v>1950000</v>
          </cell>
        </row>
        <row r="1080">
          <cell r="B1080" t="str">
            <v>MCCB-3f-400A</v>
          </cell>
          <cell r="C1080" t="str">
            <v>¸p t« m¸t 3 pha 600 V - 400 A</v>
          </cell>
          <cell r="D1080" t="str">
            <v>C¸i</v>
          </cell>
          <cell r="E1080" t="str">
            <v>1</v>
          </cell>
          <cell r="F1080">
            <v>1.57</v>
          </cell>
          <cell r="G1080">
            <v>1950000</v>
          </cell>
        </row>
        <row r="1081">
          <cell r="B1081" t="str">
            <v>MCCB-3f-500A</v>
          </cell>
          <cell r="C1081" t="str">
            <v>¸p t« m¸t 3 pha 600 V - 500 A</v>
          </cell>
          <cell r="D1081" t="str">
            <v>C¸i</v>
          </cell>
          <cell r="E1081" t="str">
            <v>1</v>
          </cell>
          <cell r="F1081">
            <v>1.68</v>
          </cell>
          <cell r="G1081">
            <v>3350000</v>
          </cell>
        </row>
        <row r="1082">
          <cell r="B1082" t="str">
            <v>MCCB-3f-600A</v>
          </cell>
          <cell r="C1082" t="str">
            <v>¸p t« m¸t 3 pha 600 V - 600 A</v>
          </cell>
          <cell r="D1082" t="str">
            <v>C¸i</v>
          </cell>
          <cell r="E1082" t="str">
            <v>1</v>
          </cell>
          <cell r="F1082">
            <v>2.67</v>
          </cell>
          <cell r="G1082">
            <v>4500000</v>
          </cell>
        </row>
        <row r="1083">
          <cell r="B1083" t="str">
            <v>MCCB-3f-700A</v>
          </cell>
          <cell r="C1083" t="str">
            <v>¸p t« m¸t 3 pha 600 V - 700 A</v>
          </cell>
          <cell r="D1083" t="str">
            <v>C¸i</v>
          </cell>
          <cell r="E1083" t="str">
            <v>1</v>
          </cell>
          <cell r="F1083">
            <v>2.88</v>
          </cell>
          <cell r="G1083">
            <v>4700000</v>
          </cell>
        </row>
        <row r="1084">
          <cell r="B1084" t="str">
            <v>MCCB-3f-800A</v>
          </cell>
          <cell r="C1084" t="str">
            <v>¸p t« m¸t 3 pha 600 V - 800 A</v>
          </cell>
          <cell r="D1084" t="str">
            <v>C¸i</v>
          </cell>
          <cell r="E1084" t="str">
            <v>1</v>
          </cell>
          <cell r="F1084">
            <v>3.98</v>
          </cell>
          <cell r="G1084">
            <v>4700000</v>
          </cell>
        </row>
        <row r="1085">
          <cell r="B1085" t="str">
            <v>MCCB-3f-1000A</v>
          </cell>
          <cell r="C1085" t="str">
            <v>¸p t« m¸t 3 pha 600 V - 1000 A</v>
          </cell>
          <cell r="D1085" t="str">
            <v>C¸i</v>
          </cell>
          <cell r="E1085" t="str">
            <v>1</v>
          </cell>
          <cell r="F1085">
            <v>6.78</v>
          </cell>
          <cell r="G1085">
            <v>8500000</v>
          </cell>
        </row>
        <row r="1086">
          <cell r="B1086" t="str">
            <v>MCCB-3f-1250A</v>
          </cell>
          <cell r="C1086" t="str">
            <v>¸p t« m¸t 3 pha 600 V - 1250 A</v>
          </cell>
          <cell r="D1086" t="str">
            <v>C¸i</v>
          </cell>
          <cell r="E1086" t="str">
            <v>1</v>
          </cell>
          <cell r="F1086">
            <v>7.89</v>
          </cell>
          <cell r="G1086">
            <v>11500000</v>
          </cell>
        </row>
        <row r="1087">
          <cell r="B1087" t="str">
            <v>MCCB-3f-1600A</v>
          </cell>
          <cell r="C1087" t="str">
            <v>¸p t« m¸t 3 pha 600 V - 1600 A</v>
          </cell>
          <cell r="D1087" t="str">
            <v>C¸i</v>
          </cell>
          <cell r="E1087" t="str">
            <v>1</v>
          </cell>
          <cell r="F1087">
            <v>12.67</v>
          </cell>
          <cell r="G1087">
            <v>18500000</v>
          </cell>
        </row>
        <row r="1088">
          <cell r="B1088" t="str">
            <v>fi130 thep</v>
          </cell>
          <cell r="C1088" t="str">
            <v>¸p t« m¸t 2 cùc</v>
          </cell>
          <cell r="D1088" t="str">
            <v>m</v>
          </cell>
          <cell r="E1088">
            <v>1</v>
          </cell>
          <cell r="F1088">
            <v>6.21</v>
          </cell>
          <cell r="G1088">
            <v>138000</v>
          </cell>
        </row>
        <row r="1089">
          <cell r="B1089" t="str">
            <v>MCCB-1f-10A</v>
          </cell>
          <cell r="C1089" t="str">
            <v>¸p t« m¸t 1 pha 2 cùc 600 V - 10 A</v>
          </cell>
          <cell r="D1089" t="str">
            <v>C¸i</v>
          </cell>
          <cell r="E1089" t="str">
            <v>1</v>
          </cell>
          <cell r="F1089">
            <v>0.5</v>
          </cell>
          <cell r="G1089">
            <v>45000</v>
          </cell>
        </row>
        <row r="1090">
          <cell r="B1090" t="str">
            <v>MCCB-1f-15A</v>
          </cell>
          <cell r="C1090" t="str">
            <v>¸p t« m¸t 1 pha 2 cùc 600 V - 15 A</v>
          </cell>
          <cell r="D1090" t="str">
            <v>C¸i</v>
          </cell>
          <cell r="E1090" t="str">
            <v>1</v>
          </cell>
          <cell r="F1090">
            <v>0.5</v>
          </cell>
          <cell r="G1090">
            <v>45000</v>
          </cell>
        </row>
        <row r="1091">
          <cell r="B1091" t="str">
            <v>MCCB-1f-20A</v>
          </cell>
          <cell r="C1091" t="str">
            <v>¸p t« m¸t 1 pha 2 cùc 600 V - 20 A</v>
          </cell>
          <cell r="D1091" t="str">
            <v>C¸i</v>
          </cell>
          <cell r="E1091" t="str">
            <v>1</v>
          </cell>
          <cell r="F1091">
            <v>0.5</v>
          </cell>
          <cell r="G1091">
            <v>45000</v>
          </cell>
        </row>
        <row r="1092">
          <cell r="B1092" t="str">
            <v>MCCB-1f-30A</v>
          </cell>
          <cell r="C1092" t="str">
            <v>¸p t« m¸t 1 pha 2 cùc 600 V - 30 A</v>
          </cell>
          <cell r="D1092" t="str">
            <v>C¸i</v>
          </cell>
          <cell r="E1092" t="str">
            <v>1</v>
          </cell>
          <cell r="F1092">
            <v>0.5</v>
          </cell>
          <cell r="G1092">
            <v>45000</v>
          </cell>
        </row>
        <row r="1093">
          <cell r="B1093" t="str">
            <v>MCCB-1f-40A</v>
          </cell>
          <cell r="C1093" t="str">
            <v>¸p t« m¸t 1 pha 2 cùc 600 V - 40 A</v>
          </cell>
          <cell r="D1093" t="str">
            <v>C¸i</v>
          </cell>
          <cell r="E1093" t="str">
            <v>1</v>
          </cell>
          <cell r="F1093">
            <v>0.5</v>
          </cell>
          <cell r="G1093">
            <v>45000</v>
          </cell>
        </row>
        <row r="1094">
          <cell r="B1094" t="str">
            <v>MCCB-1f-50A</v>
          </cell>
          <cell r="C1094" t="str">
            <v>¸p t« m¸t 1 pha 2 cùc 600 V - 50 A</v>
          </cell>
          <cell r="D1094" t="str">
            <v>C¸i</v>
          </cell>
          <cell r="E1094" t="str">
            <v>1</v>
          </cell>
          <cell r="F1094">
            <v>0.5</v>
          </cell>
          <cell r="G1094">
            <v>45000</v>
          </cell>
        </row>
        <row r="1095">
          <cell r="B1095" t="str">
            <v>MCCB-1f-75A</v>
          </cell>
          <cell r="C1095" t="str">
            <v>¸p t« m¸t 1 pha 2 cùc 600 V - 75 A</v>
          </cell>
          <cell r="D1095" t="str">
            <v>C¸i</v>
          </cell>
          <cell r="E1095" t="str">
            <v>1</v>
          </cell>
          <cell r="F1095">
            <v>0.76</v>
          </cell>
          <cell r="G1095">
            <v>95000</v>
          </cell>
        </row>
        <row r="1096">
          <cell r="B1096" t="str">
            <v>MCCB-1f-100A</v>
          </cell>
          <cell r="C1096" t="str">
            <v>¸p t« m¸t 1 pha 2 cùc 600 V - 100 A</v>
          </cell>
          <cell r="D1096" t="str">
            <v>C¸i</v>
          </cell>
          <cell r="E1096" t="str">
            <v>1</v>
          </cell>
          <cell r="F1096">
            <v>0.79</v>
          </cell>
          <cell r="G1096">
            <v>95000</v>
          </cell>
        </row>
        <row r="1097">
          <cell r="B1097" t="str">
            <v>MCCB-1f-150A</v>
          </cell>
          <cell r="C1097" t="str">
            <v>¸p t« m¸t 1 pha 2 cùc 600 V - 150 A</v>
          </cell>
          <cell r="D1097" t="str">
            <v>C¸i</v>
          </cell>
          <cell r="E1097" t="str">
            <v>1</v>
          </cell>
          <cell r="F1097">
            <v>0.81</v>
          </cell>
          <cell r="G1097">
            <v>135000</v>
          </cell>
        </row>
        <row r="1098">
          <cell r="B1098" t="str">
            <v>MCCB-1f-200A</v>
          </cell>
          <cell r="C1098" t="str">
            <v>¸p t« m¸t 1 pha 2 cùc 600 V - 200 A</v>
          </cell>
          <cell r="D1098" t="str">
            <v>C¸i</v>
          </cell>
          <cell r="E1098" t="str">
            <v>1</v>
          </cell>
          <cell r="F1098">
            <v>0.82</v>
          </cell>
          <cell r="G1098">
            <v>235000</v>
          </cell>
        </row>
        <row r="1099">
          <cell r="B1099" t="str">
            <v>fi27 thep</v>
          </cell>
          <cell r="C1099" t="str">
            <v>èng thÐp tr¸ng kÏm fi 27</v>
          </cell>
          <cell r="D1099" t="str">
            <v>m</v>
          </cell>
          <cell r="E1099">
            <v>1</v>
          </cell>
          <cell r="F1099">
            <v>1.67</v>
          </cell>
          <cell r="G1099">
            <v>31100</v>
          </cell>
        </row>
        <row r="1100">
          <cell r="C1100" t="str">
            <v>èng c¸c lo¹i</v>
          </cell>
        </row>
        <row r="1101">
          <cell r="B1101" t="str">
            <v>fi150 nhua</v>
          </cell>
          <cell r="C1101" t="str">
            <v>èng nhùa fi 150</v>
          </cell>
          <cell r="D1101" t="str">
            <v>m</v>
          </cell>
          <cell r="E1101">
            <v>1</v>
          </cell>
          <cell r="F1101">
            <v>3.16</v>
          </cell>
          <cell r="G1101">
            <v>52000</v>
          </cell>
        </row>
        <row r="1102">
          <cell r="B1102" t="str">
            <v>fi140 nhua</v>
          </cell>
          <cell r="C1102" t="str">
            <v>èng nhùa fi 140</v>
          </cell>
          <cell r="D1102" t="str">
            <v>m</v>
          </cell>
          <cell r="E1102">
            <v>1</v>
          </cell>
          <cell r="F1102">
            <v>2.78</v>
          </cell>
          <cell r="G1102">
            <v>47500</v>
          </cell>
        </row>
        <row r="1103">
          <cell r="B1103" t="str">
            <v>fi130 nhua</v>
          </cell>
          <cell r="C1103" t="str">
            <v>èng nhùa fi 130</v>
          </cell>
          <cell r="D1103" t="str">
            <v>m</v>
          </cell>
          <cell r="E1103">
            <v>1</v>
          </cell>
          <cell r="F1103">
            <v>2.56</v>
          </cell>
          <cell r="G1103">
            <v>43800</v>
          </cell>
        </row>
        <row r="1104">
          <cell r="B1104" t="str">
            <v>fi120 nhua</v>
          </cell>
          <cell r="C1104" t="str">
            <v>èng nhùa fi 120</v>
          </cell>
          <cell r="D1104" t="str">
            <v>m</v>
          </cell>
          <cell r="E1104">
            <v>1</v>
          </cell>
          <cell r="F1104">
            <v>2.4300000000000002</v>
          </cell>
          <cell r="G1104">
            <v>39500</v>
          </cell>
        </row>
        <row r="1105">
          <cell r="B1105" t="str">
            <v>fi110 nhua</v>
          </cell>
          <cell r="C1105" t="str">
            <v>èng nhùa fi 110</v>
          </cell>
          <cell r="D1105" t="str">
            <v>m</v>
          </cell>
          <cell r="E1105">
            <v>1</v>
          </cell>
          <cell r="F1105">
            <v>2.25</v>
          </cell>
          <cell r="G1105">
            <v>38500</v>
          </cell>
        </row>
        <row r="1106">
          <cell r="B1106" t="str">
            <v>fi100 nhua</v>
          </cell>
          <cell r="C1106" t="str">
            <v>èng nhùa fi 100</v>
          </cell>
          <cell r="D1106" t="str">
            <v>m</v>
          </cell>
          <cell r="E1106">
            <v>1</v>
          </cell>
          <cell r="F1106">
            <v>2.06</v>
          </cell>
          <cell r="G1106">
            <v>37900</v>
          </cell>
        </row>
        <row r="1107">
          <cell r="B1107" t="str">
            <v>fi190 nhua</v>
          </cell>
          <cell r="C1107" t="str">
            <v>èng nhùa fi 90</v>
          </cell>
          <cell r="D1107" t="str">
            <v>m</v>
          </cell>
          <cell r="E1107">
            <v>1</v>
          </cell>
          <cell r="F1107">
            <v>1.78</v>
          </cell>
          <cell r="G1107">
            <v>35500</v>
          </cell>
        </row>
        <row r="1108">
          <cell r="B1108" t="str">
            <v>fi180 nhua</v>
          </cell>
          <cell r="C1108" t="str">
            <v>èng nhùa fi 80</v>
          </cell>
          <cell r="D1108" t="str">
            <v>m</v>
          </cell>
          <cell r="E1108">
            <v>1</v>
          </cell>
          <cell r="F1108">
            <v>1.65</v>
          </cell>
          <cell r="G1108">
            <v>33970</v>
          </cell>
        </row>
        <row r="1109">
          <cell r="B1109" t="str">
            <v>fi70 nhua</v>
          </cell>
          <cell r="C1109" t="str">
            <v>èng nhùa fi 70</v>
          </cell>
          <cell r="D1109" t="str">
            <v>m</v>
          </cell>
          <cell r="E1109">
            <v>1</v>
          </cell>
          <cell r="F1109">
            <v>1.35</v>
          </cell>
          <cell r="G1109">
            <v>31500</v>
          </cell>
        </row>
        <row r="1110">
          <cell r="B1110" t="str">
            <v>fi60 nhua</v>
          </cell>
          <cell r="C1110" t="str">
            <v>èng nhùa fi 60</v>
          </cell>
          <cell r="D1110" t="str">
            <v>m</v>
          </cell>
          <cell r="E1110">
            <v>1</v>
          </cell>
          <cell r="F1110">
            <v>1.21</v>
          </cell>
          <cell r="G1110">
            <v>29500</v>
          </cell>
        </row>
        <row r="1111">
          <cell r="B1111" t="str">
            <v>fi50 nhua</v>
          </cell>
          <cell r="C1111" t="str">
            <v>èng nhùa fi 50</v>
          </cell>
          <cell r="D1111" t="str">
            <v>m</v>
          </cell>
          <cell r="E1111">
            <v>1</v>
          </cell>
          <cell r="F1111">
            <v>1.05</v>
          </cell>
          <cell r="G1111">
            <v>27100</v>
          </cell>
        </row>
        <row r="1112">
          <cell r="B1112" t="str">
            <v>fi42 nhua</v>
          </cell>
          <cell r="C1112" t="str">
            <v>èng nhùa fi 42</v>
          </cell>
          <cell r="D1112" t="str">
            <v>m</v>
          </cell>
          <cell r="E1112">
            <v>1</v>
          </cell>
          <cell r="F1112">
            <v>0.67</v>
          </cell>
          <cell r="G1112">
            <v>25300</v>
          </cell>
        </row>
        <row r="1113">
          <cell r="B1113" t="str">
            <v>fi40 nhua</v>
          </cell>
          <cell r="C1113" t="str">
            <v>èng nhùa fi 40</v>
          </cell>
          <cell r="D1113" t="str">
            <v>m</v>
          </cell>
          <cell r="E1113">
            <v>1</v>
          </cell>
          <cell r="F1113">
            <v>0.67</v>
          </cell>
          <cell r="G1113">
            <v>23110</v>
          </cell>
        </row>
        <row r="1114">
          <cell r="B1114" t="str">
            <v>fi30 nhua</v>
          </cell>
          <cell r="C1114" t="str">
            <v>èng nhùa fi 30</v>
          </cell>
          <cell r="D1114" t="str">
            <v>m</v>
          </cell>
          <cell r="E1114">
            <v>1</v>
          </cell>
          <cell r="F1114">
            <v>0.67</v>
          </cell>
          <cell r="G1114">
            <v>19100</v>
          </cell>
        </row>
        <row r="1116">
          <cell r="C1116" t="str">
            <v>Vá c¸c lo¹i</v>
          </cell>
        </row>
        <row r="1117">
          <cell r="B1117" t="str">
            <v>VT§-400V</v>
          </cell>
          <cell r="C1117" t="str">
            <v>Vá tñ ®iÖn VT§-400V</v>
          </cell>
          <cell r="D1117" t="str">
            <v>C¸i</v>
          </cell>
          <cell r="E1117" t="str">
            <v>1</v>
          </cell>
          <cell r="F1117">
            <v>145</v>
          </cell>
          <cell r="G1117">
            <v>2156770</v>
          </cell>
        </row>
        <row r="1118">
          <cell r="B1118" t="str">
            <v>VTB-400V</v>
          </cell>
          <cell r="C1118" t="str">
            <v>Vá tñ tô bï VTB-400V</v>
          </cell>
          <cell r="D1118" t="str">
            <v>C¸i</v>
          </cell>
          <cell r="E1118" t="str">
            <v>1</v>
          </cell>
          <cell r="F1118">
            <v>145</v>
          </cell>
          <cell r="G1118">
            <v>2156770</v>
          </cell>
        </row>
        <row r="1119">
          <cell r="B1119" t="str">
            <v>VT§-PP</v>
          </cell>
          <cell r="C1119" t="str">
            <v>Vá tñ ®iÖn ph©n phèi    VT§-PP</v>
          </cell>
          <cell r="D1119" t="str">
            <v>C¸i</v>
          </cell>
          <cell r="E1119" t="str">
            <v>1</v>
          </cell>
          <cell r="F1119">
            <v>56</v>
          </cell>
          <cell r="G1119">
            <v>1050000</v>
          </cell>
        </row>
        <row r="1120">
          <cell r="B1120" t="str">
            <v>VHCD-6</v>
          </cell>
          <cell r="C1120" t="str">
            <v>Vá hép chia d©y VHCD-6</v>
          </cell>
          <cell r="D1120" t="str">
            <v>C¸i</v>
          </cell>
          <cell r="E1120" t="str">
            <v>1</v>
          </cell>
          <cell r="F1120">
            <v>21.67</v>
          </cell>
          <cell r="G1120">
            <v>35500</v>
          </cell>
        </row>
        <row r="1121">
          <cell r="B1121" t="str">
            <v>VHCD-9</v>
          </cell>
          <cell r="C1121" t="str">
            <v>Vá hép chia d©y VHCD-9</v>
          </cell>
          <cell r="D1121" t="str">
            <v>C¸i</v>
          </cell>
          <cell r="E1121" t="str">
            <v>1</v>
          </cell>
          <cell r="F1121">
            <v>21.67</v>
          </cell>
          <cell r="G1121">
            <v>58000</v>
          </cell>
        </row>
        <row r="1122">
          <cell r="C1122" t="str">
            <v>Tñ ®iÖn c¸c lo¹i</v>
          </cell>
        </row>
        <row r="1123">
          <cell r="B1123" t="str">
            <v>T§-PP</v>
          </cell>
          <cell r="C1123" t="str">
            <v>Tñ ®iÖn ph©n phèi vµo nhµ</v>
          </cell>
          <cell r="D1123" t="str">
            <v>C¸i</v>
          </cell>
          <cell r="E1123" t="str">
            <v>1</v>
          </cell>
          <cell r="F1123">
            <v>21.67</v>
          </cell>
          <cell r="G1123">
            <v>5000000</v>
          </cell>
        </row>
        <row r="1124">
          <cell r="B1124" t="str">
            <v>HCD-6</v>
          </cell>
          <cell r="C1124" t="str">
            <v>Hép chia d©y HCD-6</v>
          </cell>
          <cell r="D1124" t="str">
            <v>C¸i</v>
          </cell>
          <cell r="E1124" t="str">
            <v>1</v>
          </cell>
          <cell r="F1124">
            <v>21.67</v>
          </cell>
          <cell r="G1124">
            <v>427600</v>
          </cell>
        </row>
        <row r="1125">
          <cell r="B1125" t="str">
            <v>HCD-9</v>
          </cell>
          <cell r="C1125" t="str">
            <v>Hép chia d©y HCD-9</v>
          </cell>
          <cell r="D1125" t="str">
            <v>C¸i</v>
          </cell>
          <cell r="E1125" t="str">
            <v>1</v>
          </cell>
          <cell r="F1125">
            <v>21.67</v>
          </cell>
          <cell r="G1125">
            <v>637000</v>
          </cell>
        </row>
        <row r="1126">
          <cell r="C1126" t="str">
            <v>¸p t« m¸t</v>
          </cell>
        </row>
        <row r="1127">
          <cell r="C1127" t="str">
            <v>¸p t« m¸t 3 cùc</v>
          </cell>
        </row>
        <row r="1128">
          <cell r="B1128" t="str">
            <v>MCCB-3f-10A</v>
          </cell>
          <cell r="C1128" t="str">
            <v>¸p t« m¸t 3 pha 600 V - 10 A</v>
          </cell>
          <cell r="D1128" t="str">
            <v>C¸i</v>
          </cell>
          <cell r="E1128" t="str">
            <v>1</v>
          </cell>
          <cell r="F1128">
            <v>0.5</v>
          </cell>
          <cell r="G1128">
            <v>65000</v>
          </cell>
        </row>
        <row r="1129">
          <cell r="B1129" t="str">
            <v>MCCB-3f-15A</v>
          </cell>
          <cell r="C1129" t="str">
            <v>¸p t« m¸t 3 pha 600 V - 15 A</v>
          </cell>
          <cell r="D1129" t="str">
            <v>C¸i</v>
          </cell>
          <cell r="E1129" t="str">
            <v>1</v>
          </cell>
          <cell r="F1129">
            <v>0.5</v>
          </cell>
          <cell r="G1129">
            <v>65000</v>
          </cell>
        </row>
        <row r="1130">
          <cell r="B1130" t="str">
            <v>MCCB-3f-20A</v>
          </cell>
          <cell r="C1130" t="str">
            <v>¸p t« m¸t 3 pha 600 V - 20 A</v>
          </cell>
          <cell r="D1130" t="str">
            <v>C¸i</v>
          </cell>
          <cell r="E1130" t="str">
            <v>1</v>
          </cell>
          <cell r="F1130">
            <v>0.5</v>
          </cell>
          <cell r="G1130">
            <v>65000</v>
          </cell>
        </row>
        <row r="1131">
          <cell r="B1131" t="str">
            <v>MCCB-3f-30A</v>
          </cell>
          <cell r="C1131" t="str">
            <v>¸p t« m¸t 3 pha 600 V - 30 A</v>
          </cell>
          <cell r="D1131" t="str">
            <v>C¸i</v>
          </cell>
          <cell r="E1131" t="str">
            <v>1</v>
          </cell>
          <cell r="F1131">
            <v>0.5</v>
          </cell>
          <cell r="G1131">
            <v>105000</v>
          </cell>
        </row>
        <row r="1132">
          <cell r="B1132" t="str">
            <v>MCCB-3f-40A</v>
          </cell>
          <cell r="C1132" t="str">
            <v>¸p t« m¸t 3 pha 600 V - 40 A</v>
          </cell>
          <cell r="D1132" t="str">
            <v>C¸i</v>
          </cell>
          <cell r="E1132" t="str">
            <v>1</v>
          </cell>
          <cell r="F1132">
            <v>0.5</v>
          </cell>
          <cell r="G1132">
            <v>165000</v>
          </cell>
        </row>
        <row r="1133">
          <cell r="B1133" t="str">
            <v>MCCB-3f-50A</v>
          </cell>
          <cell r="C1133" t="str">
            <v>¸p t« m¸t 3 pha 600 V - 50 A</v>
          </cell>
          <cell r="D1133" t="str">
            <v>C¸i</v>
          </cell>
          <cell r="E1133" t="str">
            <v>1</v>
          </cell>
          <cell r="F1133">
            <v>0.5</v>
          </cell>
          <cell r="G1133">
            <v>195000</v>
          </cell>
        </row>
        <row r="1134">
          <cell r="B1134" t="str">
            <v>MCCB-3f-75A</v>
          </cell>
          <cell r="C1134" t="str">
            <v>¸p t« m¸t 3 pha 600 V - 75 A</v>
          </cell>
          <cell r="D1134" t="str">
            <v>C¸i</v>
          </cell>
          <cell r="E1134" t="str">
            <v>1</v>
          </cell>
          <cell r="F1134">
            <v>0.78</v>
          </cell>
          <cell r="G1134">
            <v>335000</v>
          </cell>
        </row>
        <row r="1135">
          <cell r="B1135" t="str">
            <v>MCCB-3f-100A</v>
          </cell>
          <cell r="C1135" t="str">
            <v>¸p t« m¸t 3 pha 600 V - 100 A</v>
          </cell>
          <cell r="D1135" t="str">
            <v>C¸i</v>
          </cell>
          <cell r="E1135" t="str">
            <v>1</v>
          </cell>
          <cell r="F1135">
            <v>0.96</v>
          </cell>
          <cell r="G1135">
            <v>565000</v>
          </cell>
        </row>
        <row r="1136">
          <cell r="B1136" t="str">
            <v>MCCB-3f-150A</v>
          </cell>
          <cell r="C1136" t="str">
            <v>¸p t« m¸t 3 pha 600 V - 150 A</v>
          </cell>
          <cell r="D1136" t="str">
            <v>C¸i</v>
          </cell>
          <cell r="E1136" t="str">
            <v>1</v>
          </cell>
          <cell r="F1136">
            <v>1.1000000000000001</v>
          </cell>
          <cell r="G1136">
            <v>1815000</v>
          </cell>
        </row>
        <row r="1137">
          <cell r="B1137" t="str">
            <v>MCCB-3f-200A</v>
          </cell>
          <cell r="C1137" t="str">
            <v>¸p t« m¸t 3 pha 600 V - 200 A</v>
          </cell>
          <cell r="D1137" t="str">
            <v>C¸i</v>
          </cell>
          <cell r="E1137" t="str">
            <v>1</v>
          </cell>
          <cell r="F1137">
            <v>1.21</v>
          </cell>
          <cell r="G1137">
            <v>2720000</v>
          </cell>
        </row>
        <row r="1138">
          <cell r="B1138" t="str">
            <v>MCCB-3f-250A</v>
          </cell>
          <cell r="C1138" t="str">
            <v>¸p t« m¸t 3 pha 600 V - 250 A</v>
          </cell>
          <cell r="D1138" t="str">
            <v>C¸i</v>
          </cell>
          <cell r="E1138" t="str">
            <v>1</v>
          </cell>
          <cell r="F1138">
            <v>1.33</v>
          </cell>
          <cell r="G1138">
            <v>2720000</v>
          </cell>
        </row>
        <row r="1139">
          <cell r="B1139" t="str">
            <v>MCCB-3f-300A</v>
          </cell>
          <cell r="C1139" t="str">
            <v>¸p t« m¸t 3 pha 600 V - 300 A</v>
          </cell>
          <cell r="D1139" t="str">
            <v>C¸i</v>
          </cell>
          <cell r="E1139" t="str">
            <v>1</v>
          </cell>
          <cell r="F1139">
            <v>1.45</v>
          </cell>
          <cell r="G1139">
            <v>2950000</v>
          </cell>
        </row>
        <row r="1140">
          <cell r="B1140" t="str">
            <v>MCCB-3f-400A</v>
          </cell>
          <cell r="C1140" t="str">
            <v>¸p t« m¸t 3 pha 600 V - 400 A</v>
          </cell>
          <cell r="D1140" t="str">
            <v>C¸i</v>
          </cell>
          <cell r="E1140" t="str">
            <v>1</v>
          </cell>
          <cell r="F1140">
            <v>1.57</v>
          </cell>
          <cell r="G1140">
            <v>3950000</v>
          </cell>
        </row>
        <row r="1141">
          <cell r="B1141" t="str">
            <v>MCCB-3f-500A</v>
          </cell>
          <cell r="C1141" t="str">
            <v>¸p t« m¸t 3 pha 600 V - 500 A</v>
          </cell>
          <cell r="D1141" t="str">
            <v>C¸i</v>
          </cell>
          <cell r="E1141" t="str">
            <v>1</v>
          </cell>
          <cell r="F1141">
            <v>1.68</v>
          </cell>
          <cell r="G1141">
            <v>4750000</v>
          </cell>
        </row>
        <row r="1142">
          <cell r="B1142" t="str">
            <v>MCCB-3f-600A</v>
          </cell>
          <cell r="C1142" t="str">
            <v>¸p t« m¸t 3 pha 600 V - 600 A</v>
          </cell>
          <cell r="D1142" t="str">
            <v>C¸i</v>
          </cell>
          <cell r="E1142" t="str">
            <v>1</v>
          </cell>
          <cell r="F1142">
            <v>2.67</v>
          </cell>
          <cell r="G1142">
            <v>8500000</v>
          </cell>
        </row>
        <row r="1143">
          <cell r="B1143" t="str">
            <v>MCCB-3f-700A</v>
          </cell>
          <cell r="C1143" t="str">
            <v>¸p t« m¸t 3 pha 600 V - 700 A</v>
          </cell>
          <cell r="D1143" t="str">
            <v>C¸i</v>
          </cell>
          <cell r="E1143" t="str">
            <v>1</v>
          </cell>
          <cell r="F1143">
            <v>2.88</v>
          </cell>
          <cell r="G1143">
            <v>10700000</v>
          </cell>
        </row>
        <row r="1144">
          <cell r="B1144" t="str">
            <v>MCCB-3f-800A</v>
          </cell>
          <cell r="C1144" t="str">
            <v>¸p t« m¸t 3 pha 600 V - 800 A</v>
          </cell>
          <cell r="D1144" t="str">
            <v>C¸i</v>
          </cell>
          <cell r="E1144" t="str">
            <v>1</v>
          </cell>
          <cell r="F1144">
            <v>3.98</v>
          </cell>
          <cell r="G1144">
            <v>12700000</v>
          </cell>
        </row>
        <row r="1145">
          <cell r="B1145" t="str">
            <v>MCCB-3f-1000A</v>
          </cell>
          <cell r="C1145" t="str">
            <v>¸p t« m¸t 3 pha 600 V - 1000 A</v>
          </cell>
          <cell r="D1145" t="str">
            <v>C¸i</v>
          </cell>
          <cell r="E1145" t="str">
            <v>1</v>
          </cell>
          <cell r="F1145">
            <v>6.78</v>
          </cell>
          <cell r="G1145">
            <v>18500000</v>
          </cell>
        </row>
        <row r="1146">
          <cell r="B1146" t="str">
            <v>MCCB-3f-1250A</v>
          </cell>
          <cell r="C1146" t="str">
            <v>¸p t« m¸t 3 pha 600 V - 1250 A</v>
          </cell>
          <cell r="D1146" t="str">
            <v>C¸i</v>
          </cell>
          <cell r="E1146" t="str">
            <v>1</v>
          </cell>
          <cell r="F1146">
            <v>7.89</v>
          </cell>
          <cell r="G1146">
            <v>36500000</v>
          </cell>
        </row>
        <row r="1147">
          <cell r="B1147" t="str">
            <v>MCCB-3f-1600A</v>
          </cell>
          <cell r="C1147" t="str">
            <v>¸p t« m¸t 3 pha 600 V - 1600 A</v>
          </cell>
          <cell r="D1147" t="str">
            <v>C¸i</v>
          </cell>
          <cell r="E1147" t="str">
            <v>1</v>
          </cell>
          <cell r="F1147">
            <v>12.67</v>
          </cell>
          <cell r="G1147">
            <v>42500000</v>
          </cell>
        </row>
        <row r="1148">
          <cell r="C1148" t="str">
            <v>¸p t« m¸t 2 cùc</v>
          </cell>
        </row>
        <row r="1149">
          <cell r="B1149" t="str">
            <v>MCCB-1f-10A</v>
          </cell>
          <cell r="C1149" t="str">
            <v>¸p t« m¸t 1 pha 2 cùc 600 V - 10 A</v>
          </cell>
          <cell r="D1149" t="str">
            <v>C¸i</v>
          </cell>
          <cell r="E1149" t="str">
            <v>1</v>
          </cell>
          <cell r="F1149">
            <v>0.5</v>
          </cell>
          <cell r="G1149">
            <v>45000</v>
          </cell>
        </row>
        <row r="1150">
          <cell r="B1150" t="str">
            <v>MCCB-1f-15A</v>
          </cell>
          <cell r="C1150" t="str">
            <v>¸p t« m¸t 1 pha 2 cùc 600 V - 15 A</v>
          </cell>
          <cell r="D1150" t="str">
            <v>C¸i</v>
          </cell>
          <cell r="E1150" t="str">
            <v>1</v>
          </cell>
          <cell r="F1150">
            <v>0.5</v>
          </cell>
          <cell r="G1150">
            <v>45000</v>
          </cell>
        </row>
        <row r="1151">
          <cell r="B1151" t="str">
            <v>MCCB-1f-20A</v>
          </cell>
          <cell r="C1151" t="str">
            <v>¸p t« m¸t 1 pha 2 cùc 600 V - 20 A</v>
          </cell>
          <cell r="D1151" t="str">
            <v>C¸i</v>
          </cell>
          <cell r="E1151" t="str">
            <v>1</v>
          </cell>
          <cell r="F1151">
            <v>0.5</v>
          </cell>
          <cell r="G1151">
            <v>45000</v>
          </cell>
        </row>
        <row r="1152">
          <cell r="B1152" t="str">
            <v>MCCB-1f-30A</v>
          </cell>
          <cell r="C1152" t="str">
            <v>¸p t« m¸t 1 pha 2 cùc 600 V - 30 A</v>
          </cell>
          <cell r="D1152" t="str">
            <v>C¸i</v>
          </cell>
          <cell r="E1152" t="str">
            <v>1</v>
          </cell>
          <cell r="F1152">
            <v>0.5</v>
          </cell>
          <cell r="G1152">
            <v>45000</v>
          </cell>
        </row>
        <row r="1153">
          <cell r="B1153" t="str">
            <v>MCCB-1f-40A</v>
          </cell>
          <cell r="C1153" t="str">
            <v>¸p t« m¸t 1 pha 2 cùc 600 V - 40 A</v>
          </cell>
          <cell r="D1153" t="str">
            <v>C¸i</v>
          </cell>
          <cell r="E1153" t="str">
            <v>1</v>
          </cell>
          <cell r="F1153">
            <v>0.5</v>
          </cell>
          <cell r="G1153">
            <v>45000</v>
          </cell>
        </row>
        <row r="1154">
          <cell r="B1154" t="str">
            <v>MCCB-1f-50A</v>
          </cell>
          <cell r="C1154" t="str">
            <v>¸p t« m¸t 1 pha 2 cùc 600 V - 50 A</v>
          </cell>
          <cell r="D1154" t="str">
            <v>C¸i</v>
          </cell>
          <cell r="E1154" t="str">
            <v>1</v>
          </cell>
          <cell r="F1154">
            <v>0.5</v>
          </cell>
          <cell r="G1154">
            <v>45000</v>
          </cell>
        </row>
        <row r="1155">
          <cell r="B1155" t="str">
            <v>MCCB-1f-75A</v>
          </cell>
          <cell r="C1155" t="str">
            <v>¸p t« m¸t 1 pha 2 cùc 600 V - 75 A</v>
          </cell>
          <cell r="D1155" t="str">
            <v>C¸i</v>
          </cell>
          <cell r="E1155" t="str">
            <v>1</v>
          </cell>
          <cell r="F1155">
            <v>0.76</v>
          </cell>
          <cell r="G1155">
            <v>95000</v>
          </cell>
        </row>
        <row r="1156">
          <cell r="B1156" t="str">
            <v>MCCB-1f-100A</v>
          </cell>
          <cell r="C1156" t="str">
            <v>¸p t« m¸t 1 pha 2 cùc 600 V - 100 A</v>
          </cell>
          <cell r="D1156" t="str">
            <v>C¸i</v>
          </cell>
          <cell r="E1156" t="str">
            <v>1</v>
          </cell>
          <cell r="F1156">
            <v>0.79</v>
          </cell>
          <cell r="G1156">
            <v>95000</v>
          </cell>
        </row>
        <row r="1157">
          <cell r="B1157" t="str">
            <v>MCCB-1f-150A</v>
          </cell>
          <cell r="C1157" t="str">
            <v>¸p t« m¸t 1 pha 2 cùc 600 V - 150 A</v>
          </cell>
          <cell r="D1157" t="str">
            <v>C¸i</v>
          </cell>
          <cell r="E1157" t="str">
            <v>1</v>
          </cell>
          <cell r="F1157">
            <v>0.81</v>
          </cell>
          <cell r="G1157">
            <v>135000</v>
          </cell>
        </row>
        <row r="1158">
          <cell r="B1158" t="str">
            <v>MCCB-1f-200A</v>
          </cell>
          <cell r="C1158" t="str">
            <v>¸p t« m¸t 1 pha 2 cùc 600 V - 200 A</v>
          </cell>
          <cell r="D1158" t="str">
            <v>C¸i</v>
          </cell>
          <cell r="E1158" t="str">
            <v>1</v>
          </cell>
          <cell r="F1158">
            <v>0.82</v>
          </cell>
          <cell r="G1158">
            <v>235000</v>
          </cell>
        </row>
      </sheetData>
      <sheetData sheetId="1" refreshError="1">
        <row r="5">
          <cell r="C5" t="str">
            <v xml:space="preserve">Chèng sÐt van </v>
          </cell>
        </row>
        <row r="6">
          <cell r="B6" t="str">
            <v>CSV-6</v>
          </cell>
          <cell r="C6" t="str">
            <v>Chèng sÐt van 6 kV</v>
          </cell>
          <cell r="D6" t="str">
            <v>C¸i</v>
          </cell>
          <cell r="E6">
            <v>1</v>
          </cell>
          <cell r="F6">
            <v>4.78</v>
          </cell>
          <cell r="G6">
            <v>406000</v>
          </cell>
        </row>
        <row r="7">
          <cell r="B7" t="str">
            <v>CSV-10</v>
          </cell>
          <cell r="C7" t="str">
            <v>Chèng sÐt van 10 kV</v>
          </cell>
          <cell r="D7" t="str">
            <v>C¸i</v>
          </cell>
          <cell r="E7">
            <v>1</v>
          </cell>
          <cell r="F7">
            <v>5.05</v>
          </cell>
          <cell r="G7">
            <v>448000</v>
          </cell>
        </row>
        <row r="8">
          <cell r="B8" t="str">
            <v>CSV-15(N§)</v>
          </cell>
          <cell r="C8" t="str">
            <v>Chèng sÐt van 15 kV ( TTN§ )</v>
          </cell>
          <cell r="D8" t="str">
            <v>C¸i</v>
          </cell>
          <cell r="E8">
            <v>1</v>
          </cell>
          <cell r="F8">
            <v>5.78</v>
          </cell>
          <cell r="G8">
            <v>538000</v>
          </cell>
        </row>
        <row r="9">
          <cell r="B9" t="str">
            <v>CSV-15(C§)</v>
          </cell>
          <cell r="C9" t="str">
            <v>Chèng sÐt van 15 kV ( TTC§ )</v>
          </cell>
          <cell r="D9" t="str">
            <v>C¸i</v>
          </cell>
          <cell r="E9">
            <v>1</v>
          </cell>
          <cell r="F9">
            <v>5.78</v>
          </cell>
          <cell r="G9">
            <v>542000</v>
          </cell>
        </row>
        <row r="10">
          <cell r="B10" t="str">
            <v>CSV-22</v>
          </cell>
          <cell r="C10" t="str">
            <v>Chèng sÐt van 22 kV</v>
          </cell>
          <cell r="D10" t="str">
            <v>C¸i</v>
          </cell>
          <cell r="E10">
            <v>1</v>
          </cell>
          <cell r="F10">
            <v>6.15</v>
          </cell>
          <cell r="G10">
            <v>542000</v>
          </cell>
        </row>
        <row r="11">
          <cell r="B11" t="str">
            <v>CSV-35</v>
          </cell>
          <cell r="C11" t="str">
            <v>Chèng sÐt van 35 kV</v>
          </cell>
          <cell r="D11" t="str">
            <v>C¸i</v>
          </cell>
          <cell r="E11">
            <v>1</v>
          </cell>
          <cell r="F11">
            <v>7.66</v>
          </cell>
          <cell r="G11">
            <v>1078000</v>
          </cell>
        </row>
        <row r="12">
          <cell r="C12" t="str">
            <v>C¸ch ly ®Çu tuyÕn</v>
          </cell>
        </row>
        <row r="13">
          <cell r="B13" t="str">
            <v>DCL-22</v>
          </cell>
          <cell r="C13" t="str">
            <v>Dao c¸ch ly 22 kV</v>
          </cell>
          <cell r="D13" t="str">
            <v>bé</v>
          </cell>
          <cell r="E13">
            <v>1</v>
          </cell>
          <cell r="F13">
            <v>101.67</v>
          </cell>
          <cell r="G13">
            <v>6514551</v>
          </cell>
        </row>
        <row r="14">
          <cell r="B14" t="str">
            <v>DCL-35</v>
          </cell>
          <cell r="C14" t="str">
            <v>Dao c¸ch ly 35 kV</v>
          </cell>
          <cell r="D14" t="str">
            <v>bé</v>
          </cell>
          <cell r="E14">
            <v>1</v>
          </cell>
          <cell r="F14">
            <v>135.55000000000001</v>
          </cell>
          <cell r="G14">
            <v>23145671</v>
          </cell>
        </row>
        <row r="15">
          <cell r="B15" t="str">
            <v>LBS-24</v>
          </cell>
          <cell r="C15" t="str">
            <v>Dao c¾t cã t¶i - 24 KV</v>
          </cell>
          <cell r="D15" t="str">
            <v>bé</v>
          </cell>
          <cell r="E15">
            <v>1</v>
          </cell>
          <cell r="F15">
            <v>155.69999999999999</v>
          </cell>
          <cell r="G15">
            <v>137800000</v>
          </cell>
        </row>
        <row r="16">
          <cell r="B16" t="str">
            <v>RCL-24</v>
          </cell>
          <cell r="C16" t="str">
            <v>Recloser - 24 KV</v>
          </cell>
          <cell r="D16" t="str">
            <v>bé</v>
          </cell>
          <cell r="E16">
            <v>1</v>
          </cell>
          <cell r="F16">
            <v>211</v>
          </cell>
          <cell r="G16">
            <v>184000000</v>
          </cell>
        </row>
        <row r="17">
          <cell r="B17" t="str">
            <v>LBS-35</v>
          </cell>
          <cell r="C17" t="str">
            <v>Dao c¾t cã t¶i - 35 KV</v>
          </cell>
          <cell r="D17" t="str">
            <v>bé</v>
          </cell>
          <cell r="E17">
            <v>1</v>
          </cell>
          <cell r="F17">
            <v>135.55000000000001</v>
          </cell>
          <cell r="G17">
            <v>163145671</v>
          </cell>
        </row>
        <row r="18">
          <cell r="B18" t="str">
            <v>RCL-35</v>
          </cell>
          <cell r="C18" t="str">
            <v>Recloser - 35 KV</v>
          </cell>
          <cell r="D18" t="str">
            <v>bé</v>
          </cell>
          <cell r="E18">
            <v>1</v>
          </cell>
          <cell r="F18">
            <v>1557</v>
          </cell>
          <cell r="G18">
            <v>215780000</v>
          </cell>
        </row>
        <row r="19">
          <cell r="B19" t="str">
            <v>SF-6</v>
          </cell>
          <cell r="C19" t="str">
            <v>M¸y c¾t SF-6  35 KV</v>
          </cell>
          <cell r="D19" t="str">
            <v>bé</v>
          </cell>
          <cell r="E19">
            <v>1</v>
          </cell>
          <cell r="F19">
            <v>211</v>
          </cell>
          <cell r="G19">
            <v>254000000</v>
          </cell>
        </row>
        <row r="20">
          <cell r="C20" t="str">
            <v>M¸y biÕn ¸p</v>
          </cell>
        </row>
        <row r="21">
          <cell r="C21" t="str">
            <v>M¸y biÕn ¸p ph©n phèi 3 pha</v>
          </cell>
        </row>
        <row r="22">
          <cell r="B22" t="str">
            <v>Lo¹i 22(6)/0,4 KV</v>
          </cell>
        </row>
        <row r="23">
          <cell r="B23" t="str">
            <v>30KVA-22(6)/0,4 KV</v>
          </cell>
          <cell r="C23" t="str">
            <v xml:space="preserve">M¸y biÕn ¸p 3 pha 30 KVA-22(6)/0,4 KV </v>
          </cell>
          <cell r="D23" t="str">
            <v>M¸y</v>
          </cell>
          <cell r="E23">
            <v>1</v>
          </cell>
          <cell r="F23">
            <v>0.41</v>
          </cell>
        </row>
        <row r="24">
          <cell r="B24" t="str">
            <v>31.5KVA-22(6)/0,4 KV</v>
          </cell>
          <cell r="C24" t="str">
            <v xml:space="preserve">M¸y biÕn ¸p 3 pha 31.5 KVA-22(6)/0,4 KV </v>
          </cell>
          <cell r="D24" t="str">
            <v>M¸y</v>
          </cell>
          <cell r="E24">
            <v>1</v>
          </cell>
          <cell r="F24">
            <v>0.47</v>
          </cell>
        </row>
        <row r="25">
          <cell r="B25" t="str">
            <v xml:space="preserve"> 50KVA-22(6)/0,4 KV</v>
          </cell>
          <cell r="C25" t="str">
            <v xml:space="preserve">M¸y biÕn ¸p 3 pha  50 KVA-22(6)/0,4 KV </v>
          </cell>
          <cell r="D25" t="str">
            <v>M¸y</v>
          </cell>
          <cell r="E25">
            <v>1</v>
          </cell>
          <cell r="F25">
            <v>0.56000000000000005</v>
          </cell>
          <cell r="G25">
            <v>30100000</v>
          </cell>
        </row>
        <row r="26">
          <cell r="B26" t="str">
            <v xml:space="preserve"> 75KVA-22(6)/0,4 KV</v>
          </cell>
          <cell r="C26" t="str">
            <v xml:space="preserve">M¸y biÕn ¸p 3 pha  75 KVA-22(6)/0,4 KV </v>
          </cell>
          <cell r="D26" t="str">
            <v>M¸y</v>
          </cell>
          <cell r="E26">
            <v>1</v>
          </cell>
          <cell r="F26">
            <v>0.7</v>
          </cell>
          <cell r="G26">
            <v>32500000</v>
          </cell>
        </row>
        <row r="27">
          <cell r="B27" t="str">
            <v>100KVA-22(6)/0,4 KV</v>
          </cell>
          <cell r="C27" t="str">
            <v xml:space="preserve">M¸y biÕn ¸p 3 pha 100 KVA-22(6)/0,4 KV </v>
          </cell>
          <cell r="D27" t="str">
            <v>M¸y</v>
          </cell>
          <cell r="E27">
            <v>1</v>
          </cell>
          <cell r="F27">
            <v>0.76</v>
          </cell>
          <cell r="G27">
            <v>38600000</v>
          </cell>
        </row>
        <row r="28">
          <cell r="B28" t="str">
            <v>160KVA-22(6)/0,4 KV</v>
          </cell>
          <cell r="C28" t="str">
            <v xml:space="preserve">M¸y biÕn ¸p 3 pha 160 KVA-22(6)/0,4 KV </v>
          </cell>
          <cell r="D28" t="str">
            <v>M¸y</v>
          </cell>
          <cell r="E28">
            <v>1</v>
          </cell>
          <cell r="F28">
            <v>1.0900000000000001</v>
          </cell>
          <cell r="G28">
            <v>43400000</v>
          </cell>
        </row>
        <row r="29">
          <cell r="B29" t="str">
            <v>180KVA-22(6)/0,4 KV</v>
          </cell>
          <cell r="C29" t="str">
            <v xml:space="preserve">M¸y biÕn ¸p 3 pha 180 KVA-22(6)/0,4 KV </v>
          </cell>
          <cell r="D29" t="str">
            <v>M¸y</v>
          </cell>
          <cell r="E29">
            <v>1</v>
          </cell>
          <cell r="F29">
            <v>1.0900000000000001</v>
          </cell>
          <cell r="G29">
            <v>48200000</v>
          </cell>
        </row>
        <row r="30">
          <cell r="B30" t="str">
            <v>250KVA-22(6)/0,4 KV</v>
          </cell>
          <cell r="C30" t="str">
            <v xml:space="preserve">M¸y biÕn ¸p 3 pha 250 KVA-22(6)/0,4 KV </v>
          </cell>
          <cell r="D30" t="str">
            <v>M¸y</v>
          </cell>
          <cell r="E30">
            <v>1</v>
          </cell>
          <cell r="F30">
            <v>1.32</v>
          </cell>
          <cell r="G30">
            <v>53000000</v>
          </cell>
        </row>
        <row r="31">
          <cell r="B31" t="str">
            <v>320KVA-22(6)/0,4 KV</v>
          </cell>
          <cell r="C31" t="str">
            <v xml:space="preserve">M¸y biÕn ¸p 3 pha 320 KVA-22(6)/0,4 KV </v>
          </cell>
          <cell r="D31" t="str">
            <v>M¸y</v>
          </cell>
          <cell r="E31">
            <v>1</v>
          </cell>
          <cell r="F31">
            <v>1.5</v>
          </cell>
          <cell r="G31">
            <v>59800000</v>
          </cell>
        </row>
        <row r="32">
          <cell r="B32" t="str">
            <v>400KVA-22(6)/0,4 KV</v>
          </cell>
          <cell r="C32" t="str">
            <v xml:space="preserve">M¸y biÕn ¸p 3 pha 400 KVA-22(6)/0,4 KV </v>
          </cell>
          <cell r="D32" t="str">
            <v>M¸y</v>
          </cell>
          <cell r="E32">
            <v>1</v>
          </cell>
          <cell r="F32">
            <v>1.72</v>
          </cell>
          <cell r="G32">
            <v>78600000</v>
          </cell>
        </row>
        <row r="33">
          <cell r="B33" t="str">
            <v>560KVA-22(6)/0,4 KV</v>
          </cell>
          <cell r="C33" t="str">
            <v xml:space="preserve">M¸y biÕn ¸p 3 pha 560 KVA-22(6)/0,4 KV </v>
          </cell>
          <cell r="D33" t="str">
            <v>M¸y</v>
          </cell>
          <cell r="E33">
            <v>1</v>
          </cell>
          <cell r="F33">
            <v>2.4700000000000002</v>
          </cell>
          <cell r="G33">
            <v>86600000</v>
          </cell>
        </row>
        <row r="34">
          <cell r="B34" t="str">
            <v>630KVA-22(6)/0,4 KV</v>
          </cell>
          <cell r="C34" t="str">
            <v xml:space="preserve">M¸y biÕn ¸p 3 pha 630 KVA-22(6)/0,4 KV </v>
          </cell>
          <cell r="D34" t="str">
            <v>M¸y</v>
          </cell>
          <cell r="E34">
            <v>1</v>
          </cell>
          <cell r="F34">
            <v>2.76</v>
          </cell>
          <cell r="G34">
            <v>108800000</v>
          </cell>
        </row>
        <row r="35">
          <cell r="B35" t="str">
            <v>750KVA-22(6)/0,4 KV</v>
          </cell>
          <cell r="C35" t="str">
            <v xml:space="preserve">M¸y biÕn ¸p 3 pha 750 KVA-22(6)/0,4 KV </v>
          </cell>
          <cell r="D35" t="str">
            <v>M¸y</v>
          </cell>
          <cell r="E35">
            <v>1</v>
          </cell>
          <cell r="F35">
            <v>3.35</v>
          </cell>
          <cell r="G35">
            <v>120600000</v>
          </cell>
        </row>
        <row r="36">
          <cell r="B36" t="str">
            <v>1000KVA-22(6)/0,4 KV</v>
          </cell>
          <cell r="C36" t="str">
            <v xml:space="preserve">M¸y biÕn ¸p 3 pha 1000 KVA-22(6)/0,4 KV </v>
          </cell>
          <cell r="D36" t="str">
            <v>M¸y</v>
          </cell>
          <cell r="E36">
            <v>1</v>
          </cell>
          <cell r="F36">
            <v>4.0999999999999996</v>
          </cell>
          <cell r="G36">
            <v>152400000</v>
          </cell>
        </row>
        <row r="37">
          <cell r="B37" t="str">
            <v>1250KVA-22(6)/0,4 KV</v>
          </cell>
          <cell r="C37" t="str">
            <v xml:space="preserve">M¸y biÕn ¸p 3 pha 1250 KVA-22(6)/0,4 KV </v>
          </cell>
          <cell r="D37" t="str">
            <v>M¸y</v>
          </cell>
          <cell r="E37">
            <v>1</v>
          </cell>
          <cell r="F37">
            <v>4.71</v>
          </cell>
          <cell r="G37">
            <v>204500000</v>
          </cell>
        </row>
        <row r="38">
          <cell r="B38" t="str">
            <v>Lo¹i 22(10)/0,4 KV</v>
          </cell>
        </row>
        <row r="39">
          <cell r="B39" t="str">
            <v>30KVA-22(10)/0,4 KV</v>
          </cell>
          <cell r="C39" t="str">
            <v xml:space="preserve">M¸y biÕn ¸p 3 pha 30 KVA-22(10)/0,4 KV </v>
          </cell>
          <cell r="D39" t="str">
            <v>M¸y</v>
          </cell>
          <cell r="E39">
            <v>1</v>
          </cell>
          <cell r="F39">
            <v>0.41</v>
          </cell>
        </row>
        <row r="40">
          <cell r="B40" t="str">
            <v>31.5KVA-22(10)/0,4 KV</v>
          </cell>
          <cell r="C40" t="str">
            <v xml:space="preserve">M¸y biÕn ¸p 3 pha 31.5 KVA-22(10)/0,4 KV </v>
          </cell>
          <cell r="D40" t="str">
            <v>M¸y</v>
          </cell>
          <cell r="E40">
            <v>1</v>
          </cell>
          <cell r="F40">
            <v>0.47</v>
          </cell>
        </row>
        <row r="41">
          <cell r="B41" t="str">
            <v xml:space="preserve"> 50KVA-22(10)/0,4 KV</v>
          </cell>
          <cell r="C41" t="str">
            <v xml:space="preserve">M¸y biÕn ¸p 3 pha  50 KVA-22(10)/0,4 KV </v>
          </cell>
          <cell r="D41" t="str">
            <v>M¸y</v>
          </cell>
          <cell r="E41">
            <v>1</v>
          </cell>
          <cell r="F41">
            <v>0.56000000000000005</v>
          </cell>
          <cell r="G41">
            <v>30100000</v>
          </cell>
        </row>
        <row r="42">
          <cell r="B42" t="str">
            <v xml:space="preserve"> 75KVA-22(10)/0,4 KV</v>
          </cell>
          <cell r="C42" t="str">
            <v xml:space="preserve">M¸y biÕn ¸p 3 pha  75 KVA-22(10)/0,4 KV </v>
          </cell>
          <cell r="D42" t="str">
            <v>M¸y</v>
          </cell>
          <cell r="E42">
            <v>1</v>
          </cell>
          <cell r="F42">
            <v>0.7</v>
          </cell>
          <cell r="G42">
            <v>32500000</v>
          </cell>
        </row>
        <row r="43">
          <cell r="B43" t="str">
            <v>100KVA-22(10)/0,4 KV</v>
          </cell>
          <cell r="C43" t="str">
            <v xml:space="preserve">M¸y biÕn ¸p 3 pha 100 KVA-22(10)/0,4 KV </v>
          </cell>
          <cell r="D43" t="str">
            <v>M¸y</v>
          </cell>
          <cell r="E43">
            <v>1</v>
          </cell>
          <cell r="F43">
            <v>0.76</v>
          </cell>
          <cell r="G43">
            <v>38600000</v>
          </cell>
        </row>
        <row r="44">
          <cell r="B44" t="str">
            <v>160KVA-22(10)/0,4 KV</v>
          </cell>
          <cell r="C44" t="str">
            <v xml:space="preserve">M¸y biÕn ¸p 3 pha 160 KVA-22(10)/0,4 KV </v>
          </cell>
          <cell r="D44" t="str">
            <v>M¸y</v>
          </cell>
          <cell r="E44">
            <v>1</v>
          </cell>
          <cell r="F44">
            <v>1.0900000000000001</v>
          </cell>
          <cell r="G44">
            <v>43400000</v>
          </cell>
        </row>
        <row r="45">
          <cell r="B45" t="str">
            <v>180KVA-22(10)/0,4 KV</v>
          </cell>
          <cell r="C45" t="str">
            <v xml:space="preserve">M¸y biÕn ¸p 3 pha 180 KVA-22(10)/0,4 KV </v>
          </cell>
          <cell r="D45" t="str">
            <v>M¸y</v>
          </cell>
          <cell r="E45">
            <v>1</v>
          </cell>
          <cell r="F45">
            <v>1.0900000000000001</v>
          </cell>
          <cell r="G45">
            <v>48200000</v>
          </cell>
        </row>
        <row r="46">
          <cell r="B46" t="str">
            <v>250KVA-22(10)/0,4 KV</v>
          </cell>
          <cell r="C46" t="str">
            <v xml:space="preserve">M¸y biÕn ¸p 3 pha 250 KVA-22(10)/0,4 KV </v>
          </cell>
          <cell r="D46" t="str">
            <v>M¸y</v>
          </cell>
          <cell r="E46">
            <v>1</v>
          </cell>
          <cell r="F46">
            <v>1.32</v>
          </cell>
          <cell r="G46">
            <v>52300000</v>
          </cell>
        </row>
        <row r="47">
          <cell r="B47" t="str">
            <v>320KVA-22(10)/0,4 KV</v>
          </cell>
          <cell r="C47" t="str">
            <v xml:space="preserve">M¸y biÕn ¸p 3 pha 320 KVA-22(10)/0,4 KV </v>
          </cell>
          <cell r="D47" t="str">
            <v>M¸y</v>
          </cell>
          <cell r="E47">
            <v>1</v>
          </cell>
          <cell r="F47">
            <v>1.5</v>
          </cell>
          <cell r="G47">
            <v>59800000</v>
          </cell>
        </row>
        <row r="48">
          <cell r="B48" t="str">
            <v>400KVA-22(10)/0,4 KV</v>
          </cell>
          <cell r="C48" t="str">
            <v xml:space="preserve">M¸y biÕn ¸p 3 pha 400 KVA-22(10)/0,4 KV </v>
          </cell>
          <cell r="D48" t="str">
            <v>M¸y</v>
          </cell>
          <cell r="E48">
            <v>1</v>
          </cell>
          <cell r="F48">
            <v>1.72</v>
          </cell>
          <cell r="G48">
            <v>70500000</v>
          </cell>
        </row>
        <row r="49">
          <cell r="B49" t="str">
            <v>560KVA-22(10)/0,4 KV</v>
          </cell>
          <cell r="C49" t="str">
            <v xml:space="preserve">M¸y biÕn ¸p 3 pha 560 KVA-22(10)/0,4 KV </v>
          </cell>
          <cell r="D49" t="str">
            <v>M¸y</v>
          </cell>
          <cell r="E49">
            <v>1</v>
          </cell>
          <cell r="F49">
            <v>2.4700000000000002</v>
          </cell>
          <cell r="G49">
            <v>86600000</v>
          </cell>
        </row>
        <row r="50">
          <cell r="B50" t="str">
            <v>630KVA-22(10)/0,4 KV</v>
          </cell>
          <cell r="C50" t="str">
            <v xml:space="preserve">M¸y biÕn ¸p 3 pha 630 KVA-22(10)/0,4 KV </v>
          </cell>
          <cell r="D50" t="str">
            <v>M¸y</v>
          </cell>
          <cell r="E50">
            <v>1</v>
          </cell>
          <cell r="F50">
            <v>2.76</v>
          </cell>
          <cell r="G50">
            <v>108800000</v>
          </cell>
        </row>
        <row r="51">
          <cell r="B51" t="str">
            <v>750KVA-22(10)/0,4 KV</v>
          </cell>
          <cell r="C51" t="str">
            <v xml:space="preserve">M¸y biÕn ¸p 3 pha 750 KVA-22(10)/0,4 KV </v>
          </cell>
          <cell r="D51" t="str">
            <v>M¸y</v>
          </cell>
          <cell r="E51">
            <v>1</v>
          </cell>
          <cell r="F51">
            <v>3.35</v>
          </cell>
          <cell r="G51">
            <v>120600000</v>
          </cell>
        </row>
        <row r="52">
          <cell r="B52" t="str">
            <v>1000KVA-22(10)/0,4 KV</v>
          </cell>
          <cell r="C52" t="str">
            <v xml:space="preserve">M¸y biÕn ¸p 3 pha 1000 KVA-22(10)/0,4 KV </v>
          </cell>
          <cell r="D52" t="str">
            <v>M¸y</v>
          </cell>
          <cell r="E52">
            <v>1</v>
          </cell>
          <cell r="F52">
            <v>4.0999999999999996</v>
          </cell>
          <cell r="G52">
            <v>152400000</v>
          </cell>
        </row>
        <row r="53">
          <cell r="B53" t="str">
            <v>1250KVA-22(10)/0,4 KV</v>
          </cell>
          <cell r="C53" t="str">
            <v xml:space="preserve">M¸y biÕn ¸p 3 pha 1250 KVA-22(10)/0,4 KV </v>
          </cell>
          <cell r="D53" t="str">
            <v>M¸y</v>
          </cell>
          <cell r="E53">
            <v>1</v>
          </cell>
          <cell r="F53">
            <v>4.71</v>
          </cell>
          <cell r="G53">
            <v>204500000</v>
          </cell>
        </row>
        <row r="54">
          <cell r="B54" t="str">
            <v>Lo¹i 22(15)/0,4 KV</v>
          </cell>
        </row>
        <row r="55">
          <cell r="B55" t="str">
            <v>30KVA-22(15)/0,4 KV</v>
          </cell>
          <cell r="C55" t="str">
            <v xml:space="preserve">M¸y biÕn ¸p 3 pha 30 KVA-22(15)/0,4 KV </v>
          </cell>
          <cell r="D55" t="str">
            <v>M¸y</v>
          </cell>
          <cell r="E55">
            <v>1</v>
          </cell>
          <cell r="F55">
            <v>0.47</v>
          </cell>
        </row>
        <row r="56">
          <cell r="B56" t="str">
            <v>31.5KVA-22(15)/0,4 KV</v>
          </cell>
          <cell r="C56" t="str">
            <v xml:space="preserve">M¸y biÕn ¸p 3 pha 31.5 KVA-22(15)/0,4 KV </v>
          </cell>
          <cell r="D56" t="str">
            <v>M¸y</v>
          </cell>
          <cell r="E56">
            <v>1</v>
          </cell>
          <cell r="F56">
            <v>0.47</v>
          </cell>
        </row>
        <row r="57">
          <cell r="B57" t="str">
            <v xml:space="preserve"> 50KVA-22(15)/0,4 KV</v>
          </cell>
          <cell r="C57" t="str">
            <v xml:space="preserve">M¸y biÕn ¸p 3 pha  50 KVA-22(15)/0,4 KV </v>
          </cell>
          <cell r="D57" t="str">
            <v>M¸y</v>
          </cell>
          <cell r="E57">
            <v>1</v>
          </cell>
          <cell r="F57">
            <v>0.63</v>
          </cell>
          <cell r="G57">
            <v>27400000</v>
          </cell>
        </row>
        <row r="58">
          <cell r="B58" t="str">
            <v xml:space="preserve"> 75KVA-22(15)/0,4 KV</v>
          </cell>
          <cell r="C58" t="str">
            <v xml:space="preserve">M¸y biÕn ¸p 3 pha  75 KVA-22(15)/0,4 KV </v>
          </cell>
          <cell r="D58" t="str">
            <v>M¸y</v>
          </cell>
          <cell r="E58">
            <v>1</v>
          </cell>
          <cell r="F58">
            <v>0.74</v>
          </cell>
          <cell r="G58">
            <v>31000000</v>
          </cell>
        </row>
        <row r="59">
          <cell r="B59" t="str">
            <v>100KVA-22(15)/0,4 KV</v>
          </cell>
          <cell r="C59" t="str">
            <v xml:space="preserve">M¸y biÕn ¸p 3 pha 100 KVA-22(15)/0,4 KV </v>
          </cell>
          <cell r="D59" t="str">
            <v>M¸y</v>
          </cell>
          <cell r="E59">
            <v>1</v>
          </cell>
          <cell r="F59">
            <v>0.8</v>
          </cell>
          <cell r="G59">
            <v>36800000</v>
          </cell>
        </row>
        <row r="60">
          <cell r="B60" t="str">
            <v>160KVA-22(15)/0,4 KV</v>
          </cell>
          <cell r="C60" t="str">
            <v xml:space="preserve">M¸y biÕn ¸p 3 pha 160 KVA-22(15)/0,4 KV </v>
          </cell>
          <cell r="D60" t="str">
            <v>M¸y</v>
          </cell>
          <cell r="E60">
            <v>1</v>
          </cell>
          <cell r="F60">
            <v>1.1200000000000001</v>
          </cell>
          <cell r="G60">
            <v>42700000</v>
          </cell>
        </row>
        <row r="61">
          <cell r="B61" t="str">
            <v>180KVA-22(15)/0,4 KV</v>
          </cell>
          <cell r="C61" t="str">
            <v xml:space="preserve">M¸y biÕn ¸p 3 pha 180 KVA-22(15)/0,4 KV </v>
          </cell>
          <cell r="D61" t="str">
            <v>M¸y</v>
          </cell>
          <cell r="E61">
            <v>1</v>
          </cell>
          <cell r="F61">
            <v>1.1200000000000001</v>
          </cell>
          <cell r="G61">
            <v>46200000</v>
          </cell>
        </row>
        <row r="62">
          <cell r="B62" t="str">
            <v>250KVA-22(15)/0,4 KV</v>
          </cell>
          <cell r="C62" t="str">
            <v xml:space="preserve">M¸y biÕn ¸p 3 pha 250 KVA-22(15)/0,4 KV </v>
          </cell>
          <cell r="D62" t="str">
            <v>M¸y</v>
          </cell>
          <cell r="E62">
            <v>1</v>
          </cell>
          <cell r="F62">
            <v>1.36</v>
          </cell>
          <cell r="G62">
            <v>52800000</v>
          </cell>
        </row>
        <row r="63">
          <cell r="B63" t="str">
            <v>320KVA-22(15)/0,4 KV</v>
          </cell>
          <cell r="C63" t="str">
            <v xml:space="preserve">M¸y biÕn ¸p 3 pha 320 KVA-22(15)/0,4 KV </v>
          </cell>
          <cell r="D63" t="str">
            <v>M¸y</v>
          </cell>
          <cell r="E63">
            <v>1</v>
          </cell>
          <cell r="F63">
            <v>1.91</v>
          </cell>
          <cell r="G63">
            <v>60200000</v>
          </cell>
        </row>
        <row r="64">
          <cell r="B64" t="str">
            <v>400KVA-22(15)/0,4 KV</v>
          </cell>
          <cell r="C64" t="str">
            <v xml:space="preserve">M¸y biÕn ¸p 3 pha 400 KVA-22(15)/0,4 KV </v>
          </cell>
          <cell r="D64" t="str">
            <v>M¸y</v>
          </cell>
          <cell r="E64">
            <v>1</v>
          </cell>
          <cell r="F64">
            <v>2.12</v>
          </cell>
          <cell r="G64">
            <v>69600000</v>
          </cell>
        </row>
        <row r="65">
          <cell r="B65" t="str">
            <v>560KVA-22(15)/0,4 KV</v>
          </cell>
          <cell r="C65" t="str">
            <v xml:space="preserve">M¸y biÕn ¸p 3 pha 560 KVA-22(15)/0,4 KV </v>
          </cell>
          <cell r="D65" t="str">
            <v>M¸y</v>
          </cell>
          <cell r="E65">
            <v>1</v>
          </cell>
          <cell r="F65">
            <v>2.69</v>
          </cell>
          <cell r="G65">
            <v>84500000</v>
          </cell>
        </row>
        <row r="66">
          <cell r="B66" t="str">
            <v>630KVA-22(15)/0,4 KV</v>
          </cell>
          <cell r="C66" t="str">
            <v xml:space="preserve">M¸y biÕn ¸p 3 pha 630 KVA-22(15)/0,4 KV </v>
          </cell>
          <cell r="D66" t="str">
            <v>M¸y</v>
          </cell>
          <cell r="E66">
            <v>1</v>
          </cell>
          <cell r="F66">
            <v>2.87</v>
          </cell>
          <cell r="G66">
            <v>89300000</v>
          </cell>
        </row>
        <row r="67">
          <cell r="B67" t="str">
            <v>750KVA-22(15)/0,4 KV</v>
          </cell>
          <cell r="C67" t="str">
            <v xml:space="preserve">M¸y biÕn ¸p 3 pha 750 KVA-22(15)/0,4 KV </v>
          </cell>
          <cell r="D67" t="str">
            <v>M¸y</v>
          </cell>
          <cell r="E67">
            <v>1</v>
          </cell>
          <cell r="F67">
            <v>3.39</v>
          </cell>
          <cell r="G67">
            <v>119500000</v>
          </cell>
        </row>
        <row r="68">
          <cell r="B68" t="str">
            <v>1000KVA-22(15)/0,4 KV</v>
          </cell>
          <cell r="C68" t="str">
            <v xml:space="preserve">M¸y biÕn ¸p 3 pha 1000 KVA-22(15)/0,4 KV </v>
          </cell>
          <cell r="D68" t="str">
            <v>M¸y</v>
          </cell>
          <cell r="E68">
            <v>1</v>
          </cell>
          <cell r="F68">
            <v>4.21</v>
          </cell>
          <cell r="G68">
            <v>155100000</v>
          </cell>
        </row>
        <row r="69">
          <cell r="B69" t="str">
            <v>1250KVA-22(15)/0,4 KV</v>
          </cell>
          <cell r="C69" t="str">
            <v xml:space="preserve">M¸y biÕn ¸p 3 pha 1250 KVA-22(15)/0,4 KV </v>
          </cell>
          <cell r="D69" t="str">
            <v>M¸y</v>
          </cell>
          <cell r="E69">
            <v>1</v>
          </cell>
          <cell r="F69">
            <v>4.76</v>
          </cell>
          <cell r="G69">
            <v>189300000</v>
          </cell>
        </row>
        <row r="70">
          <cell r="B70" t="str">
            <v>Lo¹i 35(22)/0,4 KV</v>
          </cell>
        </row>
        <row r="71">
          <cell r="B71" t="str">
            <v>30KVA-35(22)/0,4 KV</v>
          </cell>
          <cell r="C71" t="str">
            <v xml:space="preserve">M¸y biÕn ¸p 3 pha 30 KVA-35(22)/0,4 KV </v>
          </cell>
          <cell r="D71" t="str">
            <v>M¸y</v>
          </cell>
          <cell r="E71">
            <v>1</v>
          </cell>
          <cell r="F71">
            <v>0.61</v>
          </cell>
        </row>
        <row r="72">
          <cell r="B72" t="str">
            <v>31.5KVA-35(22)/0,4 KV</v>
          </cell>
          <cell r="C72" t="str">
            <v xml:space="preserve">M¸y biÕn ¸p 3 pha 31.5 KVA-35(22)/0,4 KV </v>
          </cell>
          <cell r="D72" t="str">
            <v>M¸y</v>
          </cell>
          <cell r="E72">
            <v>1</v>
          </cell>
          <cell r="F72">
            <v>0.61</v>
          </cell>
        </row>
        <row r="73">
          <cell r="B73" t="str">
            <v xml:space="preserve"> 50KVA-35(22)/0,4 KV</v>
          </cell>
          <cell r="C73" t="str">
            <v xml:space="preserve">M¸y biÕn ¸p 3 pha  50 KVA-35(22)/0,4 KV </v>
          </cell>
          <cell r="D73" t="str">
            <v>M¸y</v>
          </cell>
          <cell r="E73">
            <v>1</v>
          </cell>
          <cell r="F73">
            <v>0.92</v>
          </cell>
          <cell r="G73">
            <v>34800000</v>
          </cell>
        </row>
        <row r="74">
          <cell r="B74" t="str">
            <v xml:space="preserve"> 75KVA-35(22)/0,4 KV</v>
          </cell>
          <cell r="C74" t="str">
            <v xml:space="preserve">M¸y biÕn ¸p 3 pha  75 KVA-35(22)/0,4 KV </v>
          </cell>
          <cell r="D74" t="str">
            <v>M¸y</v>
          </cell>
          <cell r="E74">
            <v>1</v>
          </cell>
          <cell r="F74">
            <v>0.86</v>
          </cell>
          <cell r="G74">
            <v>39600000</v>
          </cell>
        </row>
        <row r="75">
          <cell r="B75" t="str">
            <v>100KVA-35(22)/0,4 KV</v>
          </cell>
          <cell r="C75" t="str">
            <v xml:space="preserve">M¸y biÕn ¸p 3 pha 100 KVA-35(22)/0,4 KV </v>
          </cell>
          <cell r="D75" t="str">
            <v>M¸y</v>
          </cell>
          <cell r="E75">
            <v>1</v>
          </cell>
          <cell r="F75">
            <v>0.91</v>
          </cell>
          <cell r="G75">
            <v>42800000</v>
          </cell>
        </row>
        <row r="76">
          <cell r="B76" t="str">
            <v>160KVA-35(22)/0,4 KV</v>
          </cell>
          <cell r="C76" t="str">
            <v xml:space="preserve">M¸y biÕn ¸p 3 pha 160 KVA-35(22)/0,4 KV </v>
          </cell>
          <cell r="D76" t="str">
            <v>M¸y</v>
          </cell>
          <cell r="E76">
            <v>1</v>
          </cell>
          <cell r="F76">
            <v>1.38</v>
          </cell>
          <cell r="G76">
            <v>50600000</v>
          </cell>
        </row>
        <row r="77">
          <cell r="B77" t="str">
            <v>180KVA-35(22)/0,4 KV</v>
          </cell>
          <cell r="C77" t="str">
            <v xml:space="preserve">M¸y biÕn ¸p 3 pha 180 KVA-35(22)/0,4 KV </v>
          </cell>
          <cell r="D77" t="str">
            <v>M¸y</v>
          </cell>
          <cell r="E77">
            <v>1</v>
          </cell>
          <cell r="F77">
            <v>1.38</v>
          </cell>
          <cell r="G77">
            <v>54000000</v>
          </cell>
        </row>
        <row r="78">
          <cell r="B78" t="str">
            <v>250KVA-35(22)/0,4 KV</v>
          </cell>
          <cell r="C78" t="str">
            <v xml:space="preserve">M¸y biÕn ¸p 3 pha 250 KVA-35(22)/0,4 KV </v>
          </cell>
          <cell r="D78" t="str">
            <v>M¸y</v>
          </cell>
          <cell r="E78">
            <v>1</v>
          </cell>
          <cell r="F78">
            <v>1.61</v>
          </cell>
          <cell r="G78">
            <v>63100000</v>
          </cell>
        </row>
        <row r="79">
          <cell r="B79" t="str">
            <v>320KVA-35(22)/0,4 KV</v>
          </cell>
          <cell r="C79" t="str">
            <v xml:space="preserve">M¸y biÕn ¸p 3 pha 320 KVA-35(22)/0,4 KV </v>
          </cell>
          <cell r="D79" t="str">
            <v>M¸y</v>
          </cell>
          <cell r="E79">
            <v>1</v>
          </cell>
          <cell r="F79">
            <v>2.0499999999999998</v>
          </cell>
          <cell r="G79">
            <v>75400000</v>
          </cell>
        </row>
        <row r="80">
          <cell r="B80" t="str">
            <v>400KVA-35(22)/0,4 KV</v>
          </cell>
          <cell r="C80" t="str">
            <v xml:space="preserve">M¸y biÕn ¸p 3 pha 400 KVA-35(22)/0,4 KV </v>
          </cell>
          <cell r="D80" t="str">
            <v>M¸y</v>
          </cell>
          <cell r="E80">
            <v>1</v>
          </cell>
          <cell r="F80">
            <v>2.78</v>
          </cell>
          <cell r="G80">
            <v>91200000</v>
          </cell>
        </row>
        <row r="81">
          <cell r="B81" t="str">
            <v>560KVA-35(22)/0,4 KV</v>
          </cell>
          <cell r="C81" t="str">
            <v xml:space="preserve">M¸y biÕn ¸p 3 pha 560 KVA-35(22)/0,4 KV </v>
          </cell>
          <cell r="D81" t="str">
            <v>M¸y</v>
          </cell>
          <cell r="E81">
            <v>1</v>
          </cell>
          <cell r="F81">
            <v>3.15</v>
          </cell>
          <cell r="G81">
            <v>104800000</v>
          </cell>
        </row>
        <row r="82">
          <cell r="B82" t="str">
            <v>630KVA-35(22)/0,4 KV</v>
          </cell>
          <cell r="C82" t="str">
            <v xml:space="preserve">M¸y biÕn ¸p 3 pha 630 KVA-35(22)/0,4 KV </v>
          </cell>
          <cell r="D82" t="str">
            <v>M¸y</v>
          </cell>
          <cell r="E82">
            <v>1</v>
          </cell>
          <cell r="F82">
            <v>3.39</v>
          </cell>
          <cell r="G82">
            <v>121200000</v>
          </cell>
        </row>
        <row r="83">
          <cell r="B83" t="str">
            <v>750KVA-35(22)/0,4 KV</v>
          </cell>
          <cell r="C83" t="str">
            <v xml:space="preserve">M¸y biÕn ¸p 3 pha 750 KVA-35(22)/0,4 KV </v>
          </cell>
          <cell r="D83" t="str">
            <v>M¸y</v>
          </cell>
          <cell r="E83">
            <v>1</v>
          </cell>
          <cell r="F83">
            <v>4.0999999999999996</v>
          </cell>
          <cell r="G83">
            <v>131800000</v>
          </cell>
        </row>
        <row r="84">
          <cell r="B84" t="str">
            <v>1000KVA-35(22)/0,4 KV</v>
          </cell>
          <cell r="C84" t="str">
            <v xml:space="preserve">M¸y biÕn ¸p 3 pha 1000 KVA-35(22)/0,4 KV </v>
          </cell>
          <cell r="D84" t="str">
            <v>M¸y</v>
          </cell>
          <cell r="E84">
            <v>1</v>
          </cell>
          <cell r="F84">
            <v>4.82</v>
          </cell>
          <cell r="G84">
            <v>172500000</v>
          </cell>
        </row>
        <row r="85">
          <cell r="B85" t="str">
            <v>1250KVA-35(22)/0,4 KV</v>
          </cell>
          <cell r="C85" t="str">
            <v xml:space="preserve">M¸y biÕn ¸p 3 pha 1250 KVA-35(22)/0,4 KV </v>
          </cell>
          <cell r="D85" t="str">
            <v>M¸y</v>
          </cell>
          <cell r="E85">
            <v>1</v>
          </cell>
          <cell r="F85">
            <v>5.31</v>
          </cell>
          <cell r="G85">
            <v>207000000</v>
          </cell>
        </row>
        <row r="86">
          <cell r="B86" t="str">
            <v>Lo¹i 22/0,4 KV</v>
          </cell>
        </row>
        <row r="87">
          <cell r="B87" t="str">
            <v>30KVA-22/0,4 KV</v>
          </cell>
          <cell r="C87" t="str">
            <v xml:space="preserve">M¸y biÕn ¸p 3 pha 30 KVA-22/0,4 KV </v>
          </cell>
          <cell r="D87" t="str">
            <v>M¸y</v>
          </cell>
          <cell r="E87">
            <v>1</v>
          </cell>
          <cell r="F87">
            <v>0.47</v>
          </cell>
          <cell r="G87">
            <v>20500000</v>
          </cell>
        </row>
        <row r="88">
          <cell r="B88" t="str">
            <v>31.5KVA-22/0,4 KV</v>
          </cell>
          <cell r="C88" t="str">
            <v xml:space="preserve">M¸y biÕn ¸p 3 pha 31.5 KVA-22/0,4 KV </v>
          </cell>
          <cell r="D88" t="str">
            <v>M¸y</v>
          </cell>
          <cell r="E88">
            <v>1</v>
          </cell>
          <cell r="F88">
            <v>0.47</v>
          </cell>
          <cell r="G88">
            <v>20500000</v>
          </cell>
        </row>
        <row r="89">
          <cell r="B89" t="str">
            <v xml:space="preserve"> 50KVA-22/0,4 KV</v>
          </cell>
          <cell r="C89" t="str">
            <v xml:space="preserve">M¸y biÕn ¸p 3 pha  50 KVA-22/0,4 KV </v>
          </cell>
          <cell r="D89" t="str">
            <v>M¸y</v>
          </cell>
          <cell r="E89">
            <v>1</v>
          </cell>
          <cell r="F89">
            <v>0.63</v>
          </cell>
          <cell r="G89">
            <v>23909000</v>
          </cell>
        </row>
        <row r="90">
          <cell r="B90" t="str">
            <v xml:space="preserve"> 75KVA-22/0,4 KV</v>
          </cell>
          <cell r="C90" t="str">
            <v xml:space="preserve">M¸y biÕn ¸p 3 pha  75 KVA-22/0,4 KV </v>
          </cell>
          <cell r="D90" t="str">
            <v>M¸y</v>
          </cell>
          <cell r="E90">
            <v>1</v>
          </cell>
          <cell r="F90">
            <v>0.74</v>
          </cell>
          <cell r="G90">
            <v>28800000</v>
          </cell>
        </row>
        <row r="91">
          <cell r="B91" t="str">
            <v>100KVA-22/0,4 KV</v>
          </cell>
          <cell r="C91" t="str">
            <v xml:space="preserve">M¸y biÕn ¸p 3 pha 100 KVA-22/0,4 KV </v>
          </cell>
          <cell r="D91" t="str">
            <v>M¸y</v>
          </cell>
          <cell r="E91">
            <v>1</v>
          </cell>
          <cell r="F91">
            <v>0.8</v>
          </cell>
          <cell r="G91">
            <v>33600000</v>
          </cell>
        </row>
        <row r="92">
          <cell r="B92" t="str">
            <v>160KVA-22/0,4 KV</v>
          </cell>
          <cell r="C92" t="str">
            <v xml:space="preserve">M¸y biÕn ¸p 3 pha 160 KVA-22/0,4 KV </v>
          </cell>
          <cell r="D92" t="str">
            <v>M¸y</v>
          </cell>
          <cell r="E92">
            <v>1</v>
          </cell>
          <cell r="F92">
            <v>1.1200000000000001</v>
          </cell>
          <cell r="G92">
            <v>39200000</v>
          </cell>
        </row>
        <row r="93">
          <cell r="B93" t="str">
            <v>180KVA-22/0,4 KV</v>
          </cell>
          <cell r="C93" t="str">
            <v xml:space="preserve">M¸y biÕn ¸p 3 pha 180 KVA-22/0,4 KV </v>
          </cell>
          <cell r="D93" t="str">
            <v>M¸y</v>
          </cell>
          <cell r="E93">
            <v>1</v>
          </cell>
          <cell r="F93">
            <v>1.1200000000000001</v>
          </cell>
          <cell r="G93">
            <v>41300000</v>
          </cell>
        </row>
        <row r="94">
          <cell r="B94" t="str">
            <v>250KVA-22/0,4 KV</v>
          </cell>
          <cell r="C94" t="str">
            <v xml:space="preserve">M¸y biÕn ¸p 3 pha 250 KVA-22/0,4 KV </v>
          </cell>
          <cell r="D94" t="str">
            <v>M¸y</v>
          </cell>
          <cell r="E94">
            <v>1</v>
          </cell>
          <cell r="F94">
            <v>1.36</v>
          </cell>
          <cell r="G94">
            <v>46200000</v>
          </cell>
        </row>
        <row r="95">
          <cell r="B95" t="str">
            <v>320KVA-22/0,4 KV</v>
          </cell>
          <cell r="C95" t="str">
            <v xml:space="preserve">M¸y biÕn ¸p 3 pha 320 KVA-22/0,4 KV </v>
          </cell>
          <cell r="D95" t="str">
            <v>M¸y</v>
          </cell>
          <cell r="E95">
            <v>1</v>
          </cell>
          <cell r="F95">
            <v>1.91</v>
          </cell>
          <cell r="G95">
            <v>51900000</v>
          </cell>
        </row>
        <row r="96">
          <cell r="B96" t="str">
            <v>400KVA-22/0,4 KV</v>
          </cell>
          <cell r="C96" t="str">
            <v xml:space="preserve">M¸y biÕn ¸p 3 pha 400 KVA-22/0,4 KV </v>
          </cell>
          <cell r="D96" t="str">
            <v>M¸y</v>
          </cell>
          <cell r="E96">
            <v>1</v>
          </cell>
          <cell r="F96">
            <v>2.12</v>
          </cell>
          <cell r="G96">
            <v>61700000</v>
          </cell>
        </row>
        <row r="97">
          <cell r="B97" t="str">
            <v>560KVA-22/0,4 KV</v>
          </cell>
          <cell r="C97" t="str">
            <v xml:space="preserve">M¸y biÕn ¸p 3 pha 560 KVA-22/0,4 KV </v>
          </cell>
          <cell r="D97" t="str">
            <v>M¸y</v>
          </cell>
          <cell r="E97">
            <v>1</v>
          </cell>
          <cell r="F97">
            <v>2.69</v>
          </cell>
          <cell r="G97">
            <v>78800000</v>
          </cell>
        </row>
        <row r="98">
          <cell r="B98" t="str">
            <v>630KVA-22/0,4 KV</v>
          </cell>
          <cell r="C98" t="str">
            <v xml:space="preserve">M¸y biÕn ¸p 3 pha 630 KVA-22/0,4 KV </v>
          </cell>
          <cell r="D98" t="str">
            <v>M¸y</v>
          </cell>
          <cell r="E98">
            <v>1</v>
          </cell>
          <cell r="F98">
            <v>2.87</v>
          </cell>
          <cell r="G98">
            <v>84000000</v>
          </cell>
        </row>
        <row r="99">
          <cell r="B99" t="str">
            <v>750KVA-22/0,4 KV</v>
          </cell>
          <cell r="C99" t="str">
            <v xml:space="preserve">M¸y biÕn ¸p 3 pha 750 KVA-22/0,4 KV </v>
          </cell>
          <cell r="D99" t="str">
            <v>M¸y</v>
          </cell>
          <cell r="E99">
            <v>1</v>
          </cell>
          <cell r="F99">
            <v>3.39</v>
          </cell>
          <cell r="G99">
            <v>112600000</v>
          </cell>
        </row>
        <row r="100">
          <cell r="B100" t="str">
            <v>1000KVA-22/0,4 KV</v>
          </cell>
          <cell r="C100" t="str">
            <v xml:space="preserve">M¸y biÕn ¸p 3 pha 1000 KVA-22/0,4 KV </v>
          </cell>
          <cell r="D100" t="str">
            <v>M¸y</v>
          </cell>
          <cell r="E100">
            <v>1</v>
          </cell>
          <cell r="F100">
            <v>4.21</v>
          </cell>
          <cell r="G100">
            <v>146400000</v>
          </cell>
        </row>
        <row r="101">
          <cell r="B101" t="str">
            <v>1250KVA-22/0,4 KV</v>
          </cell>
          <cell r="C101" t="str">
            <v xml:space="preserve">M¸y biÕn ¸p 3 pha 1250 KVA-22/0,4 KV </v>
          </cell>
          <cell r="D101" t="str">
            <v>M¸y</v>
          </cell>
          <cell r="E101">
            <v>1</v>
          </cell>
          <cell r="F101">
            <v>4.76</v>
          </cell>
          <cell r="G101">
            <v>178600000</v>
          </cell>
        </row>
        <row r="102">
          <cell r="B102" t="str">
            <v>Lo¹i 6(10)/0,4 KV</v>
          </cell>
        </row>
        <row r="103">
          <cell r="B103" t="str">
            <v>30KVA-6(10)/0,4 KV</v>
          </cell>
          <cell r="C103" t="str">
            <v xml:space="preserve">M¸y biÕn ¸p 3 pha 30 KVA-6(10)/0,4 KV </v>
          </cell>
          <cell r="D103" t="str">
            <v>M¸y</v>
          </cell>
          <cell r="E103">
            <v>1</v>
          </cell>
          <cell r="F103">
            <v>0.47</v>
          </cell>
          <cell r="G103">
            <v>18500000</v>
          </cell>
        </row>
        <row r="104">
          <cell r="B104" t="str">
            <v>31.5KVA-6(10)/0,4 KV</v>
          </cell>
          <cell r="C104" t="str">
            <v xml:space="preserve">M¸y biÕn ¸p 3 pha 31.5 KVA-6(10)/0,4 KV </v>
          </cell>
          <cell r="D104" t="str">
            <v>M¸y</v>
          </cell>
          <cell r="E104">
            <v>1</v>
          </cell>
          <cell r="F104">
            <v>0.47</v>
          </cell>
          <cell r="G104">
            <v>18500000</v>
          </cell>
        </row>
        <row r="105">
          <cell r="B105" t="str">
            <v xml:space="preserve"> 50KVA-6(10)/0,4 KV</v>
          </cell>
          <cell r="C105" t="str">
            <v xml:space="preserve">M¸y biÕn ¸p 3 pha  50 KVA-6(10)/0,4 KV </v>
          </cell>
          <cell r="D105" t="str">
            <v>M¸y</v>
          </cell>
          <cell r="E105">
            <v>1</v>
          </cell>
          <cell r="F105">
            <v>0.63</v>
          </cell>
          <cell r="G105">
            <v>19300000</v>
          </cell>
        </row>
        <row r="106">
          <cell r="B106" t="str">
            <v xml:space="preserve"> 75KVA-6(10)/0,4 KV</v>
          </cell>
          <cell r="C106" t="str">
            <v xml:space="preserve">M¸y biÕn ¸p 3 pha  75 KVA-6(10)/0,4 KV </v>
          </cell>
          <cell r="D106" t="str">
            <v>M¸y</v>
          </cell>
          <cell r="E106">
            <v>1</v>
          </cell>
          <cell r="F106">
            <v>0.74</v>
          </cell>
          <cell r="G106">
            <v>24000000</v>
          </cell>
        </row>
        <row r="107">
          <cell r="B107" t="str">
            <v>100KVA-6(10)/0,4 KV</v>
          </cell>
          <cell r="C107" t="str">
            <v xml:space="preserve">M¸y biÕn ¸p 3 pha 100 KVA-6(10)/0,4 KV </v>
          </cell>
          <cell r="D107" t="str">
            <v>M¸y</v>
          </cell>
          <cell r="E107">
            <v>1</v>
          </cell>
          <cell r="F107">
            <v>0.8</v>
          </cell>
          <cell r="G107">
            <v>27300000</v>
          </cell>
        </row>
        <row r="108">
          <cell r="B108" t="str">
            <v>160KVA-6(10)/0,4 KV</v>
          </cell>
          <cell r="C108" t="str">
            <v xml:space="preserve">M¸y biÕn ¸p 3 pha 160 KVA-6(10)/0,4 KV </v>
          </cell>
          <cell r="D108" t="str">
            <v>M¸y</v>
          </cell>
          <cell r="E108">
            <v>1</v>
          </cell>
          <cell r="F108">
            <v>1.1200000000000001</v>
          </cell>
          <cell r="G108">
            <v>33500000</v>
          </cell>
        </row>
        <row r="109">
          <cell r="B109" t="str">
            <v>180KVA-6(10)/0,4 KV</v>
          </cell>
          <cell r="C109" t="str">
            <v xml:space="preserve">M¸y biÕn ¸p 3 pha 180 KVA-6(10)/0,4 KV </v>
          </cell>
          <cell r="D109" t="str">
            <v>M¸y</v>
          </cell>
          <cell r="E109">
            <v>1</v>
          </cell>
          <cell r="F109">
            <v>1.1200000000000001</v>
          </cell>
          <cell r="G109">
            <v>35700000</v>
          </cell>
        </row>
        <row r="110">
          <cell r="B110" t="str">
            <v>250KVA-6(10)/0,4 KV</v>
          </cell>
          <cell r="C110" t="str">
            <v xml:space="preserve">M¸y biÕn ¸p 3 pha 250 KVA-6(10)/0,4 KV </v>
          </cell>
          <cell r="D110" t="str">
            <v>M¸y</v>
          </cell>
          <cell r="E110">
            <v>1</v>
          </cell>
          <cell r="F110">
            <v>1.36</v>
          </cell>
          <cell r="G110">
            <v>42900000</v>
          </cell>
        </row>
        <row r="111">
          <cell r="B111" t="str">
            <v>320KVA-6(10)/0,4 KV</v>
          </cell>
          <cell r="C111" t="str">
            <v xml:space="preserve">M¸y biÕn ¸p 3 pha 320 KVA-6(10)/0,4 KV </v>
          </cell>
          <cell r="D111" t="str">
            <v>M¸y</v>
          </cell>
          <cell r="E111">
            <v>1</v>
          </cell>
          <cell r="F111">
            <v>1.91</v>
          </cell>
          <cell r="G111">
            <v>51900000</v>
          </cell>
        </row>
        <row r="112">
          <cell r="B112" t="str">
            <v>400KVA-6(10)/0,4 KV</v>
          </cell>
          <cell r="C112" t="str">
            <v xml:space="preserve">M¸y biÕn ¸p 3 pha 400 KVA-6(10)/0,4 KV </v>
          </cell>
          <cell r="D112" t="str">
            <v>M¸y</v>
          </cell>
          <cell r="E112">
            <v>1</v>
          </cell>
          <cell r="F112">
            <v>2.12</v>
          </cell>
          <cell r="G112">
            <v>58000000</v>
          </cell>
        </row>
        <row r="113">
          <cell r="B113" t="str">
            <v>560KVA-6(10)/0,4 KV</v>
          </cell>
          <cell r="C113" t="str">
            <v xml:space="preserve">M¸y biÕn ¸p 3 pha 560 KVA-6(10)/0,4 KV </v>
          </cell>
          <cell r="D113" t="str">
            <v>M¸y</v>
          </cell>
          <cell r="E113">
            <v>1</v>
          </cell>
          <cell r="F113">
            <v>2.69</v>
          </cell>
          <cell r="G113">
            <v>75300000</v>
          </cell>
        </row>
        <row r="114">
          <cell r="B114" t="str">
            <v>630KVA-6(10)/0,4 KV</v>
          </cell>
          <cell r="C114" t="str">
            <v xml:space="preserve">M¸y biÕn ¸p 3 pha 630 KVA-6(10)/0,4 KV </v>
          </cell>
          <cell r="D114" t="str">
            <v>M¸y</v>
          </cell>
          <cell r="E114">
            <v>1</v>
          </cell>
          <cell r="F114">
            <v>2.87</v>
          </cell>
          <cell r="G114">
            <v>87600000</v>
          </cell>
        </row>
        <row r="115">
          <cell r="B115" t="str">
            <v>750KVA-6(10)/0,4 KV</v>
          </cell>
          <cell r="C115" t="str">
            <v xml:space="preserve">M¸y biÕn ¸p 3 pha 750 KVA-6(10)/0,4 KV </v>
          </cell>
          <cell r="D115" t="str">
            <v>M¸y</v>
          </cell>
          <cell r="E115">
            <v>1</v>
          </cell>
          <cell r="F115">
            <v>3.39</v>
          </cell>
          <cell r="G115">
            <v>95800000</v>
          </cell>
        </row>
        <row r="116">
          <cell r="B116" t="str">
            <v>1000KVA-6(10)/0,4 KV</v>
          </cell>
          <cell r="C116" t="str">
            <v xml:space="preserve">M¸y biÕn ¸p 3 pha 1000 KVA-6(10)/0,4 KV </v>
          </cell>
          <cell r="D116" t="str">
            <v>M¸y</v>
          </cell>
          <cell r="E116">
            <v>1</v>
          </cell>
          <cell r="F116">
            <v>4.21</v>
          </cell>
          <cell r="G116">
            <v>138900000</v>
          </cell>
        </row>
        <row r="117">
          <cell r="B117" t="str">
            <v>1250KVA-6(10)/0,4 KV</v>
          </cell>
          <cell r="C117" t="str">
            <v xml:space="preserve">M¸y biÕn ¸p 3 pha 1250 KVA-6(10)/0,4 KV </v>
          </cell>
          <cell r="D117" t="str">
            <v>M¸y</v>
          </cell>
          <cell r="E117">
            <v>1</v>
          </cell>
          <cell r="F117">
            <v>4.76</v>
          </cell>
          <cell r="G117">
            <v>166700000</v>
          </cell>
        </row>
        <row r="118">
          <cell r="B118" t="str">
            <v>Lo¹i 35/0,4 KV</v>
          </cell>
        </row>
        <row r="119">
          <cell r="B119" t="str">
            <v>30KVA-35/0,4 KV</v>
          </cell>
          <cell r="C119" t="str">
            <v xml:space="preserve">M¸y biÕn ¸p 3 pha 30 KVA-35/0,4 KV </v>
          </cell>
          <cell r="D119" t="str">
            <v>M¸y</v>
          </cell>
          <cell r="E119">
            <v>1</v>
          </cell>
          <cell r="F119">
            <v>0.61</v>
          </cell>
          <cell r="G119">
            <v>26600000</v>
          </cell>
        </row>
        <row r="120">
          <cell r="B120" t="str">
            <v>31.5KVA-35/0,4 KV</v>
          </cell>
          <cell r="C120" t="str">
            <v xml:space="preserve">M¸y biÕn ¸p 3 pha 31.5 KVA-35/0,4 KV </v>
          </cell>
          <cell r="D120" t="str">
            <v>M¸y</v>
          </cell>
          <cell r="E120">
            <v>1</v>
          </cell>
          <cell r="F120">
            <v>0.61</v>
          </cell>
          <cell r="G120">
            <v>26600000</v>
          </cell>
        </row>
        <row r="121">
          <cell r="B121" t="str">
            <v xml:space="preserve"> 50KVA-35/0,4 KV</v>
          </cell>
          <cell r="C121" t="str">
            <v xml:space="preserve">M¸y biÕn ¸p 3 pha  50 KVA-35/0,4 KV </v>
          </cell>
          <cell r="D121" t="str">
            <v>M¸y</v>
          </cell>
          <cell r="E121">
            <v>1</v>
          </cell>
          <cell r="F121">
            <v>0.92</v>
          </cell>
          <cell r="G121">
            <v>31100000</v>
          </cell>
        </row>
        <row r="122">
          <cell r="B122" t="str">
            <v xml:space="preserve"> 75KVA-35/0,4 KV</v>
          </cell>
          <cell r="C122" t="str">
            <v xml:space="preserve">M¸y biÕn ¸p 3 pha  75 KVA-35/0,4 KV </v>
          </cell>
          <cell r="D122" t="str">
            <v>M¸y</v>
          </cell>
          <cell r="E122">
            <v>1</v>
          </cell>
          <cell r="F122">
            <v>0.86</v>
          </cell>
          <cell r="G122">
            <v>32900000</v>
          </cell>
        </row>
        <row r="123">
          <cell r="B123" t="str">
            <v>100KVA-35/0,4 KV</v>
          </cell>
          <cell r="C123" t="str">
            <v xml:space="preserve">M¸y biÕn ¸p 3 pha 100 KVA-35/0,4 KV </v>
          </cell>
          <cell r="D123" t="str">
            <v>M¸y</v>
          </cell>
          <cell r="E123">
            <v>1</v>
          </cell>
          <cell r="F123">
            <v>0.91</v>
          </cell>
          <cell r="G123">
            <v>39400000</v>
          </cell>
        </row>
        <row r="124">
          <cell r="B124" t="str">
            <v>160KVA-35/0,4 KV</v>
          </cell>
          <cell r="C124" t="str">
            <v xml:space="preserve">M¸y biÕn ¸p 3 pha 160 KVA-35/0,4 KV </v>
          </cell>
          <cell r="D124" t="str">
            <v>M¸y</v>
          </cell>
          <cell r="E124">
            <v>1</v>
          </cell>
          <cell r="F124">
            <v>1.38</v>
          </cell>
          <cell r="G124">
            <v>46200000</v>
          </cell>
        </row>
        <row r="125">
          <cell r="B125" t="str">
            <v>180KVA-35/0,4 KV</v>
          </cell>
          <cell r="C125" t="str">
            <v xml:space="preserve">M¸y biÕn ¸p 3 pha 180 KVA-35/0,4 KV </v>
          </cell>
          <cell r="D125" t="str">
            <v>M¸y</v>
          </cell>
          <cell r="E125">
            <v>1</v>
          </cell>
          <cell r="F125">
            <v>1.38</v>
          </cell>
          <cell r="G125">
            <v>49200000</v>
          </cell>
        </row>
        <row r="126">
          <cell r="B126" t="str">
            <v>250KVA-35/0,4 KV</v>
          </cell>
          <cell r="C126" t="str">
            <v xml:space="preserve">M¸y biÕn ¸p 3 pha 250 KVA-35/0,4 KV </v>
          </cell>
          <cell r="D126" t="str">
            <v>M¸y</v>
          </cell>
          <cell r="E126">
            <v>1</v>
          </cell>
          <cell r="F126">
            <v>1.61</v>
          </cell>
          <cell r="G126">
            <v>54700000</v>
          </cell>
        </row>
        <row r="127">
          <cell r="B127" t="str">
            <v>320KVA-35/0,4 KV</v>
          </cell>
          <cell r="C127" t="str">
            <v xml:space="preserve">M¸y biÕn ¸p 3 pha 320 KVA-35/0,4 KV </v>
          </cell>
          <cell r="D127" t="str">
            <v>M¸y</v>
          </cell>
          <cell r="E127">
            <v>1</v>
          </cell>
          <cell r="F127">
            <v>2.0499999999999998</v>
          </cell>
          <cell r="G127">
            <v>65300000</v>
          </cell>
        </row>
        <row r="128">
          <cell r="B128" t="str">
            <v>400KVA-35/0,4 KV</v>
          </cell>
          <cell r="C128" t="str">
            <v xml:space="preserve">M¸y biÕn ¸p 3 pha 400 KVA-35/0,4 KV </v>
          </cell>
          <cell r="D128" t="str">
            <v>M¸y</v>
          </cell>
          <cell r="E128">
            <v>1</v>
          </cell>
          <cell r="F128">
            <v>2.78</v>
          </cell>
          <cell r="G128">
            <v>72800000</v>
          </cell>
        </row>
        <row r="129">
          <cell r="B129" t="str">
            <v>560KVA-35/0,4 KV</v>
          </cell>
          <cell r="C129" t="str">
            <v xml:space="preserve">M¸y biÕn ¸p 3 pha 560 KVA-35/0,4 KV </v>
          </cell>
          <cell r="D129" t="str">
            <v>M¸y</v>
          </cell>
          <cell r="E129">
            <v>1</v>
          </cell>
          <cell r="F129">
            <v>3.15</v>
          </cell>
          <cell r="G129">
            <v>94900000</v>
          </cell>
        </row>
        <row r="130">
          <cell r="B130" t="str">
            <v>630KVA-35/0,4 KV</v>
          </cell>
          <cell r="C130" t="str">
            <v xml:space="preserve">M¸y biÕn ¸p 3 pha 630 KVA-35/0,4 KV </v>
          </cell>
          <cell r="D130" t="str">
            <v>M¸y</v>
          </cell>
          <cell r="E130">
            <v>1</v>
          </cell>
          <cell r="F130">
            <v>3.39</v>
          </cell>
          <cell r="G130">
            <v>105000000</v>
          </cell>
        </row>
        <row r="131">
          <cell r="B131" t="str">
            <v>750KVA-35/0,4 KV</v>
          </cell>
          <cell r="C131" t="str">
            <v xml:space="preserve">M¸y biÕn ¸p 3 pha 750 KVA-35/0,4 KV </v>
          </cell>
          <cell r="D131" t="str">
            <v>M¸y</v>
          </cell>
          <cell r="E131">
            <v>1</v>
          </cell>
          <cell r="F131">
            <v>4.0999999999999996</v>
          </cell>
          <cell r="G131">
            <v>122900000</v>
          </cell>
        </row>
        <row r="132">
          <cell r="B132" t="str">
            <v>1000KVA-35/0,4 KV</v>
          </cell>
          <cell r="C132" t="str">
            <v xml:space="preserve">M¸y biÕn ¸p 3 pha 1000 KVA-35/0,4 KV </v>
          </cell>
          <cell r="D132" t="str">
            <v>M¸y</v>
          </cell>
          <cell r="E132">
            <v>1</v>
          </cell>
          <cell r="F132">
            <v>4.82</v>
          </cell>
          <cell r="G132">
            <v>162300000</v>
          </cell>
        </row>
        <row r="133">
          <cell r="B133" t="str">
            <v>1250KVA-35/0,4 KV</v>
          </cell>
          <cell r="C133" t="str">
            <v xml:space="preserve">M¸y biÕn ¸p 3 pha 1250 KVA-35/0,4 KV </v>
          </cell>
          <cell r="D133" t="str">
            <v>M¸y</v>
          </cell>
          <cell r="E133">
            <v>1</v>
          </cell>
          <cell r="F133">
            <v>5.31</v>
          </cell>
          <cell r="G133">
            <v>194700000</v>
          </cell>
        </row>
        <row r="134">
          <cell r="C134" t="str">
            <v>M¸y biÕn ¸p trung gian 3 pha</v>
          </cell>
        </row>
        <row r="135">
          <cell r="B135" t="str">
            <v>Lo¹i 35/6.3 KV</v>
          </cell>
        </row>
        <row r="136">
          <cell r="B136" t="str">
            <v>1000KVA-35/6.3 KV</v>
          </cell>
          <cell r="C136" t="str">
            <v xml:space="preserve">M¸y biÕn ¸p 3 pha 1000 KVA-35/6.3 KV </v>
          </cell>
          <cell r="D136" t="str">
            <v>M¸y</v>
          </cell>
          <cell r="E136">
            <v>1</v>
          </cell>
          <cell r="F136">
            <v>4.7</v>
          </cell>
          <cell r="G136">
            <v>142000000</v>
          </cell>
        </row>
        <row r="137">
          <cell r="B137" t="str">
            <v>1600KVA-35/6.3 KV</v>
          </cell>
          <cell r="C137" t="str">
            <v xml:space="preserve">M¸y biÕn ¸p 3 pha 1600 KVA-35/6.3 KV </v>
          </cell>
          <cell r="D137" t="str">
            <v>M¸y</v>
          </cell>
          <cell r="E137">
            <v>1</v>
          </cell>
          <cell r="F137">
            <v>6.2</v>
          </cell>
          <cell r="G137">
            <v>211300000</v>
          </cell>
        </row>
        <row r="138">
          <cell r="B138" t="str">
            <v>1800KVA-35/6.3 KV</v>
          </cell>
          <cell r="C138" t="str">
            <v xml:space="preserve">M¸y biÕn ¸p 3 pha 1800 KVA-35/6.3 KV </v>
          </cell>
          <cell r="D138" t="str">
            <v>M¸y</v>
          </cell>
          <cell r="E138">
            <v>1</v>
          </cell>
          <cell r="F138">
            <v>6.64</v>
          </cell>
          <cell r="G138">
            <v>229800000</v>
          </cell>
        </row>
        <row r="139">
          <cell r="B139" t="str">
            <v>2500KVA-35/6.3 KV</v>
          </cell>
          <cell r="C139" t="str">
            <v xml:space="preserve">M¸y biÕn ¸p 3 pha 2500 KVA-35/6.3 KV </v>
          </cell>
          <cell r="D139" t="str">
            <v>M¸y</v>
          </cell>
          <cell r="E139">
            <v>1</v>
          </cell>
          <cell r="F139">
            <v>7.89</v>
          </cell>
          <cell r="G139">
            <v>297300000</v>
          </cell>
        </row>
        <row r="140">
          <cell r="B140" t="str">
            <v>3200KVA-35/6.3 KV</v>
          </cell>
          <cell r="C140" t="str">
            <v xml:space="preserve">M¸y biÕn ¸p 3 pha 3200 KVA-35/6.3 KV </v>
          </cell>
          <cell r="D140" t="str">
            <v>M¸y</v>
          </cell>
          <cell r="E140">
            <v>1</v>
          </cell>
          <cell r="F140">
            <v>9.65</v>
          </cell>
          <cell r="G140">
            <v>344100000</v>
          </cell>
        </row>
        <row r="141">
          <cell r="B141" t="str">
            <v>4000KVA-35/6.3 KV</v>
          </cell>
          <cell r="C141" t="str">
            <v xml:space="preserve">M¸y biÕn ¸p 3 pha 4000 KVA-35/6.3 KV </v>
          </cell>
          <cell r="D141" t="str">
            <v>M¸y</v>
          </cell>
          <cell r="E141">
            <v>1</v>
          </cell>
          <cell r="F141">
            <v>11.14</v>
          </cell>
          <cell r="G141">
            <v>391000000</v>
          </cell>
        </row>
        <row r="142">
          <cell r="B142" t="str">
            <v>5600KVA-35/6.3 KV</v>
          </cell>
          <cell r="C142" t="str">
            <v xml:space="preserve">M¸y biÕn ¸p 3 pha 5600 KVA-35/6.3 KV </v>
          </cell>
          <cell r="D142" t="str">
            <v>M¸y</v>
          </cell>
          <cell r="E142">
            <v>1</v>
          </cell>
          <cell r="F142">
            <v>13.9</v>
          </cell>
          <cell r="G142">
            <v>480300000</v>
          </cell>
        </row>
        <row r="143">
          <cell r="B143" t="str">
            <v>6300KVA-35/6.3 KV</v>
          </cell>
          <cell r="C143" t="str">
            <v xml:space="preserve">M¸y biÕn ¸p 3 pha 6300 KVA-35/6.3 KV </v>
          </cell>
          <cell r="D143" t="str">
            <v>M¸y</v>
          </cell>
          <cell r="E143">
            <v>1</v>
          </cell>
          <cell r="F143">
            <v>13.9</v>
          </cell>
          <cell r="G143">
            <v>578300000</v>
          </cell>
        </row>
        <row r="144">
          <cell r="B144" t="str">
            <v>7500KVA-35/6.3 KV</v>
          </cell>
          <cell r="C144" t="str">
            <v xml:space="preserve">M¸y biÕn ¸p 3 pha 7500 KVA-35/6.3 KV </v>
          </cell>
          <cell r="D144" t="str">
            <v>M¸y</v>
          </cell>
          <cell r="E144">
            <v>1</v>
          </cell>
          <cell r="F144">
            <v>16.100000000000001</v>
          </cell>
          <cell r="G144">
            <v>688100000</v>
          </cell>
        </row>
        <row r="145">
          <cell r="B145" t="str">
            <v>10000KVA-35/6.3 KV</v>
          </cell>
          <cell r="C145" t="str">
            <v xml:space="preserve">M¸y biÕn ¸p 3 pha 10000 KVA-35/6.3 KV </v>
          </cell>
          <cell r="D145" t="str">
            <v>M¸y</v>
          </cell>
          <cell r="E145">
            <v>1</v>
          </cell>
          <cell r="F145">
            <v>16.3</v>
          </cell>
          <cell r="G145">
            <v>915200000</v>
          </cell>
        </row>
        <row r="146">
          <cell r="B146" t="str">
            <v>Lo¹i 35/10.5 KV</v>
          </cell>
        </row>
        <row r="147">
          <cell r="B147" t="str">
            <v>1000KVA-35/10.5 KV</v>
          </cell>
          <cell r="C147" t="str">
            <v xml:space="preserve">M¸y biÕn ¸p 3 pha 1000 KVA-35/10.5 KV </v>
          </cell>
          <cell r="D147" t="str">
            <v>M¸y</v>
          </cell>
          <cell r="E147">
            <v>1</v>
          </cell>
          <cell r="F147">
            <v>4.7</v>
          </cell>
          <cell r="G147">
            <v>152600000</v>
          </cell>
        </row>
        <row r="148">
          <cell r="B148" t="str">
            <v>1600KVA-35/10.5 KV</v>
          </cell>
          <cell r="C148" t="str">
            <v xml:space="preserve">M¸y biÕn ¸p 3 pha 1600 KVA-35/10.5 KV </v>
          </cell>
          <cell r="D148" t="str">
            <v>M¸y</v>
          </cell>
          <cell r="E148">
            <v>1</v>
          </cell>
          <cell r="F148">
            <v>6.2</v>
          </cell>
          <cell r="G148">
            <v>217300000</v>
          </cell>
        </row>
        <row r="149">
          <cell r="B149" t="str">
            <v>1800KVA-35/10.5 KV</v>
          </cell>
          <cell r="C149" t="str">
            <v xml:space="preserve">M¸y biÕn ¸p 3 pha 1800 KVA-35/10.5 KV </v>
          </cell>
          <cell r="D149" t="str">
            <v>M¸y</v>
          </cell>
          <cell r="E149">
            <v>1</v>
          </cell>
          <cell r="F149">
            <v>6.64</v>
          </cell>
          <cell r="G149">
            <v>234200000</v>
          </cell>
        </row>
        <row r="150">
          <cell r="B150" t="str">
            <v>2500KVA-35/10.5 KV</v>
          </cell>
          <cell r="C150" t="str">
            <v xml:space="preserve">M¸y biÕn ¸p 3 pha 2500 KVA-35/10.5 KV </v>
          </cell>
          <cell r="D150" t="str">
            <v>M¸y</v>
          </cell>
          <cell r="E150">
            <v>1</v>
          </cell>
          <cell r="F150">
            <v>7.89</v>
          </cell>
          <cell r="G150">
            <v>305000000</v>
          </cell>
        </row>
        <row r="151">
          <cell r="B151" t="str">
            <v>3200KVA-35/10.5 KV</v>
          </cell>
          <cell r="C151" t="str">
            <v xml:space="preserve">M¸y biÕn ¸p 3 pha 3200 KVA-35/10.5 KV </v>
          </cell>
          <cell r="D151" t="str">
            <v>M¸y</v>
          </cell>
          <cell r="E151">
            <v>1</v>
          </cell>
          <cell r="F151">
            <v>9.65</v>
          </cell>
          <cell r="G151">
            <v>348500000</v>
          </cell>
        </row>
        <row r="152">
          <cell r="B152" t="str">
            <v>4000KVA-35/10.5 KV</v>
          </cell>
          <cell r="C152" t="str">
            <v xml:space="preserve">M¸y biÕn ¸p 3 pha 4000 KVA-35/10.5 KV </v>
          </cell>
          <cell r="D152" t="str">
            <v>M¸y</v>
          </cell>
          <cell r="E152">
            <v>1</v>
          </cell>
          <cell r="F152">
            <v>11.14</v>
          </cell>
          <cell r="G152">
            <v>400700000</v>
          </cell>
        </row>
        <row r="153">
          <cell r="B153" t="str">
            <v>5600KVA-35/10.5 KV</v>
          </cell>
          <cell r="C153" t="str">
            <v xml:space="preserve">M¸y biÕn ¸p 3 pha 5600 KVA-35/10.5 KV </v>
          </cell>
          <cell r="D153" t="str">
            <v>M¸y</v>
          </cell>
          <cell r="E153">
            <v>1</v>
          </cell>
          <cell r="F153">
            <v>13.9</v>
          </cell>
          <cell r="G153">
            <v>492300000</v>
          </cell>
        </row>
        <row r="154">
          <cell r="B154" t="str">
            <v>6300KVA-35/10.5 KV</v>
          </cell>
          <cell r="C154" t="str">
            <v xml:space="preserve">M¸y biÕn ¸p 3 pha 6300 KVA-35/10.5 KV </v>
          </cell>
          <cell r="D154" t="str">
            <v>M¸y</v>
          </cell>
          <cell r="E154">
            <v>1</v>
          </cell>
          <cell r="F154">
            <v>13.9</v>
          </cell>
          <cell r="G154">
            <v>591400000</v>
          </cell>
        </row>
        <row r="155">
          <cell r="B155" t="str">
            <v>7500KVA-35/10.5 KV</v>
          </cell>
          <cell r="C155" t="str">
            <v xml:space="preserve">M¸y biÕn ¸p 3 pha 7500 KVA-35/10.5 KV </v>
          </cell>
          <cell r="D155" t="str">
            <v>M¸y</v>
          </cell>
          <cell r="E155">
            <v>1</v>
          </cell>
          <cell r="F155">
            <v>16.100000000000001</v>
          </cell>
          <cell r="G155">
            <v>703700000</v>
          </cell>
        </row>
        <row r="156">
          <cell r="B156" t="str">
            <v>10000KVA-35/10.5 KV</v>
          </cell>
          <cell r="C156" t="str">
            <v xml:space="preserve">M¸y biÕn ¸p 3 pha 10000 KVA-35/10.5 KV </v>
          </cell>
          <cell r="D156" t="str">
            <v>M¸y</v>
          </cell>
          <cell r="E156">
            <v>1</v>
          </cell>
          <cell r="F156">
            <v>16.3</v>
          </cell>
          <cell r="G156">
            <v>936000000</v>
          </cell>
        </row>
        <row r="157">
          <cell r="B157" t="str">
            <v>Lo¹i 35/15 KV</v>
          </cell>
        </row>
        <row r="158">
          <cell r="B158" t="str">
            <v>1000KVA-35/15 KV</v>
          </cell>
          <cell r="C158" t="str">
            <v xml:space="preserve">M¸y biÕn ¸p 3 pha 1000 KVA-35/15 KV </v>
          </cell>
          <cell r="D158" t="str">
            <v>M¸y</v>
          </cell>
          <cell r="E158">
            <v>1</v>
          </cell>
          <cell r="F158">
            <v>4.7</v>
          </cell>
          <cell r="G158">
            <v>156700000</v>
          </cell>
        </row>
        <row r="159">
          <cell r="B159" t="str">
            <v>1600KVA-35/15 KV</v>
          </cell>
          <cell r="C159" t="str">
            <v xml:space="preserve">M¸y biÕn ¸p 3 pha 1600 KVA-35/15 KV </v>
          </cell>
          <cell r="D159" t="str">
            <v>M¸y</v>
          </cell>
          <cell r="E159">
            <v>1</v>
          </cell>
          <cell r="F159">
            <v>6.2</v>
          </cell>
          <cell r="G159">
            <v>220000000</v>
          </cell>
        </row>
        <row r="160">
          <cell r="B160" t="str">
            <v>1800KVA-35/15 KV</v>
          </cell>
          <cell r="C160" t="str">
            <v xml:space="preserve">M¸y biÕn ¸p 3 pha 1800 KVA-35/15 KV </v>
          </cell>
          <cell r="D160" t="str">
            <v>M¸y</v>
          </cell>
          <cell r="E160">
            <v>1</v>
          </cell>
          <cell r="F160">
            <v>6.64</v>
          </cell>
          <cell r="G160">
            <v>236300000</v>
          </cell>
        </row>
        <row r="161">
          <cell r="B161" t="str">
            <v>2500KVA-35/15 KV</v>
          </cell>
          <cell r="C161" t="str">
            <v xml:space="preserve">M¸y biÕn ¸p 3 pha 2500 KVA-35/15 KV </v>
          </cell>
          <cell r="D161" t="str">
            <v>M¸y</v>
          </cell>
          <cell r="E161">
            <v>1</v>
          </cell>
          <cell r="F161">
            <v>7.89</v>
          </cell>
          <cell r="G161">
            <v>307100000</v>
          </cell>
        </row>
        <row r="162">
          <cell r="B162" t="str">
            <v>3200KVA-35/15 KV</v>
          </cell>
          <cell r="C162" t="str">
            <v xml:space="preserve">M¸y biÕn ¸p 3 pha 3200 KVA-35/15 KV </v>
          </cell>
          <cell r="D162" t="str">
            <v>M¸y</v>
          </cell>
          <cell r="E162">
            <v>1</v>
          </cell>
          <cell r="F162">
            <v>9.65</v>
          </cell>
          <cell r="G162">
            <v>356100000</v>
          </cell>
        </row>
        <row r="163">
          <cell r="B163" t="str">
            <v>4000KVA-35/15 KV</v>
          </cell>
          <cell r="C163" t="str">
            <v xml:space="preserve">M¸y biÕn ¸p 3 pha 4000 KVA-35/15 KV </v>
          </cell>
          <cell r="D163" t="str">
            <v>M¸y</v>
          </cell>
          <cell r="E163">
            <v>1</v>
          </cell>
          <cell r="F163">
            <v>11.14</v>
          </cell>
          <cell r="G163">
            <v>404000000</v>
          </cell>
        </row>
        <row r="164">
          <cell r="B164" t="str">
            <v>5600KVA-35/15 KV</v>
          </cell>
          <cell r="C164" t="str">
            <v xml:space="preserve">M¸y biÕn ¸p 3 pha 5600 KVA-35/15 KV </v>
          </cell>
          <cell r="D164" t="str">
            <v>M¸y</v>
          </cell>
          <cell r="E164">
            <v>1</v>
          </cell>
          <cell r="F164">
            <v>13.9</v>
          </cell>
          <cell r="G164">
            <v>495600000</v>
          </cell>
        </row>
        <row r="165">
          <cell r="B165" t="str">
            <v>6300KVA-35/15 KV</v>
          </cell>
          <cell r="C165" t="str">
            <v xml:space="preserve">M¸y biÕn ¸p 3 pha 6300 KVA-35/15 KV </v>
          </cell>
          <cell r="D165" t="str">
            <v>M¸y</v>
          </cell>
          <cell r="E165">
            <v>1</v>
          </cell>
          <cell r="F165">
            <v>13.9</v>
          </cell>
          <cell r="G165">
            <v>596800000</v>
          </cell>
        </row>
        <row r="166">
          <cell r="B166" t="str">
            <v>7500KVA-35/15 KV</v>
          </cell>
          <cell r="C166" t="str">
            <v xml:space="preserve">M¸y biÕn ¸p 3 pha 7500 KVA-35/15 KV </v>
          </cell>
          <cell r="D166" t="str">
            <v>M¸y</v>
          </cell>
          <cell r="E166">
            <v>1</v>
          </cell>
          <cell r="F166">
            <v>16.100000000000001</v>
          </cell>
          <cell r="G166">
            <v>710100000</v>
          </cell>
        </row>
        <row r="167">
          <cell r="B167" t="str">
            <v>10000KVA-35/15 KV</v>
          </cell>
          <cell r="C167" t="str">
            <v xml:space="preserve">M¸y biÕn ¸p 3 pha 10000 KVA-35/15 KV </v>
          </cell>
          <cell r="D167" t="str">
            <v>M¸y</v>
          </cell>
          <cell r="E167">
            <v>1</v>
          </cell>
          <cell r="F167">
            <v>16.3</v>
          </cell>
          <cell r="G167">
            <v>944500000</v>
          </cell>
        </row>
        <row r="168">
          <cell r="B168" t="str">
            <v>Lo¹i 35/22 KV</v>
          </cell>
        </row>
        <row r="169">
          <cell r="B169" t="str">
            <v>1000KVA-35/22 KV</v>
          </cell>
          <cell r="C169" t="str">
            <v xml:space="preserve">M¸y biÕn ¸p 3 pha 1000 KVA-35/22 KV </v>
          </cell>
          <cell r="D169" t="str">
            <v>M¸y</v>
          </cell>
          <cell r="E169">
            <v>1</v>
          </cell>
          <cell r="F169">
            <v>4.7</v>
          </cell>
          <cell r="G169">
            <v>161200000</v>
          </cell>
        </row>
        <row r="170">
          <cell r="B170" t="str">
            <v>1600KVA-35/22 KV</v>
          </cell>
          <cell r="C170" t="str">
            <v xml:space="preserve">M¸y biÕn ¸p 3 pha 1600 KVA-35/22 KV </v>
          </cell>
          <cell r="D170" t="str">
            <v>M¸y</v>
          </cell>
          <cell r="E170">
            <v>1</v>
          </cell>
          <cell r="F170">
            <v>6.2</v>
          </cell>
          <cell r="G170">
            <v>223300000</v>
          </cell>
        </row>
        <row r="171">
          <cell r="B171" t="str">
            <v>1800KVA-35/22 KV</v>
          </cell>
          <cell r="C171" t="str">
            <v xml:space="preserve">M¸y biÕn ¸p 3 pha 1800 KVA-35/22 KV </v>
          </cell>
          <cell r="D171" t="str">
            <v>M¸y</v>
          </cell>
          <cell r="E171">
            <v>1</v>
          </cell>
          <cell r="F171">
            <v>6.64</v>
          </cell>
          <cell r="G171">
            <v>243000000</v>
          </cell>
        </row>
        <row r="172">
          <cell r="B172" t="str">
            <v>2500KVA-35/22 KV</v>
          </cell>
          <cell r="C172" t="str">
            <v xml:space="preserve">M¸y biÕn ¸p 3 pha 2500 KVA-35/22 KV </v>
          </cell>
          <cell r="D172" t="str">
            <v>M¸y</v>
          </cell>
          <cell r="E172">
            <v>1</v>
          </cell>
          <cell r="F172">
            <v>7.89</v>
          </cell>
          <cell r="G172">
            <v>314700000</v>
          </cell>
        </row>
        <row r="173">
          <cell r="B173" t="str">
            <v>3200KVA-35/22 KV</v>
          </cell>
          <cell r="C173" t="str">
            <v xml:space="preserve">M¸y biÕn ¸p 3 pha 3200 KVA-35/22 KV </v>
          </cell>
          <cell r="D173" t="str">
            <v>M¸y</v>
          </cell>
          <cell r="E173">
            <v>1</v>
          </cell>
          <cell r="F173">
            <v>9.65</v>
          </cell>
          <cell r="G173">
            <v>363800000</v>
          </cell>
        </row>
        <row r="174">
          <cell r="B174" t="str">
            <v>4000KVA-35/22 KV</v>
          </cell>
          <cell r="C174" t="str">
            <v xml:space="preserve">M¸y biÕn ¸p 3 pha 4000 KVA-35/22 KV </v>
          </cell>
          <cell r="D174" t="str">
            <v>M¸y</v>
          </cell>
          <cell r="E174">
            <v>1</v>
          </cell>
          <cell r="F174">
            <v>11.14</v>
          </cell>
          <cell r="G174">
            <v>412700000</v>
          </cell>
        </row>
        <row r="175">
          <cell r="B175" t="str">
            <v>5600KVA-35/22 KV</v>
          </cell>
          <cell r="C175" t="str">
            <v xml:space="preserve">M¸y biÕn ¸p 3 pha 5600 KVA-35/22 KV </v>
          </cell>
          <cell r="D175" t="str">
            <v>M¸y</v>
          </cell>
          <cell r="E175">
            <v>1</v>
          </cell>
          <cell r="F175">
            <v>13.9</v>
          </cell>
          <cell r="G175">
            <v>506400000</v>
          </cell>
        </row>
        <row r="176">
          <cell r="B176" t="str">
            <v>6300KVA-35/22 KV</v>
          </cell>
          <cell r="C176" t="str">
            <v xml:space="preserve">M¸y biÕn ¸p 3 pha 6300 KVA-35/22 KV </v>
          </cell>
          <cell r="D176" t="str">
            <v>M¸y</v>
          </cell>
          <cell r="E176">
            <v>1</v>
          </cell>
          <cell r="F176">
            <v>13.9</v>
          </cell>
          <cell r="G176">
            <v>608700000</v>
          </cell>
        </row>
        <row r="177">
          <cell r="B177" t="str">
            <v>7500KVA-35/22 KV</v>
          </cell>
          <cell r="C177" t="str">
            <v xml:space="preserve">M¸y biÕn ¸p 3 pha 7500 KVA-35/22 KV </v>
          </cell>
          <cell r="D177" t="str">
            <v>M¸y</v>
          </cell>
          <cell r="E177">
            <v>1</v>
          </cell>
          <cell r="F177">
            <v>16.100000000000001</v>
          </cell>
          <cell r="G177">
            <v>724400000</v>
          </cell>
        </row>
        <row r="178">
          <cell r="B178" t="str">
            <v>10000KVA-35/22 KV</v>
          </cell>
          <cell r="C178" t="str">
            <v xml:space="preserve">M¸y biÕn ¸p 3 pha 10000 KVA-35/22 KV </v>
          </cell>
          <cell r="D178" t="str">
            <v>M¸y</v>
          </cell>
          <cell r="E178">
            <v>1</v>
          </cell>
          <cell r="F178">
            <v>16.3</v>
          </cell>
          <cell r="G178">
            <v>963500000</v>
          </cell>
        </row>
        <row r="179">
          <cell r="C179" t="str">
            <v>M¸y biÕn ¸p 1 pha</v>
          </cell>
        </row>
        <row r="180">
          <cell r="C180" t="str">
            <v xml:space="preserve">M¸y biÕn ¸p 22(15)/0,23 KV </v>
          </cell>
        </row>
        <row r="181">
          <cell r="B181" t="str">
            <v>15KVA-22(15)/0,23 KV</v>
          </cell>
          <cell r="C181" t="str">
            <v>M¸y biÕn ¸p 1 pha 22(15)/0,23 KV -15 KVA</v>
          </cell>
          <cell r="D181" t="str">
            <v>M¸y</v>
          </cell>
          <cell r="E181">
            <v>1</v>
          </cell>
          <cell r="F181">
            <v>36.78</v>
          </cell>
          <cell r="G181">
            <v>9794889</v>
          </cell>
        </row>
        <row r="182">
          <cell r="B182" t="str">
            <v>25KVA-22(15)/0,23 KV</v>
          </cell>
          <cell r="C182" t="str">
            <v>M¸y biÕn ¸p 1 pha 22(15)/0,23 KV -25 KVA</v>
          </cell>
          <cell r="D182" t="str">
            <v>M¸y</v>
          </cell>
          <cell r="E182">
            <v>1</v>
          </cell>
          <cell r="F182">
            <v>47.89</v>
          </cell>
          <cell r="G182">
            <v>12442833</v>
          </cell>
        </row>
        <row r="183">
          <cell r="B183" t="str">
            <v>37.5KVA-22(15)/0,23 KV</v>
          </cell>
          <cell r="C183" t="str">
            <v>M¸y biÕn ¸p 1 pha 22(15)/0,23 KV -37.5 KVA</v>
          </cell>
          <cell r="D183" t="str">
            <v>M¸y</v>
          </cell>
          <cell r="E183">
            <v>1</v>
          </cell>
          <cell r="F183">
            <v>57.89</v>
          </cell>
          <cell r="G183">
            <v>17689994</v>
          </cell>
        </row>
        <row r="184">
          <cell r="B184" t="str">
            <v>50KVA-22(15)/0,23 KV</v>
          </cell>
          <cell r="C184" t="str">
            <v>M¸y biÕn ¸p 1 pha 22(15)/0,23 KV -50 KVA</v>
          </cell>
          <cell r="D184" t="str">
            <v>M¸y</v>
          </cell>
          <cell r="E184">
            <v>1</v>
          </cell>
          <cell r="F184">
            <v>16.5</v>
          </cell>
          <cell r="G184">
            <v>21567890</v>
          </cell>
        </row>
        <row r="185">
          <cell r="C185" t="str">
            <v xml:space="preserve">M¸y biÕn ¸p 22/0,23 KV </v>
          </cell>
        </row>
        <row r="186">
          <cell r="B186" t="str">
            <v>15KVA-22/0,23 KV</v>
          </cell>
          <cell r="C186" t="str">
            <v>M¸y biÕn ¸p 1 pha 22/0,23 KV -15 KVA</v>
          </cell>
          <cell r="D186" t="str">
            <v>M¸y</v>
          </cell>
          <cell r="E186">
            <v>1</v>
          </cell>
          <cell r="F186">
            <v>36.78</v>
          </cell>
          <cell r="G186">
            <v>9794889</v>
          </cell>
        </row>
        <row r="187">
          <cell r="B187" t="str">
            <v>25KVA-22/0,23 KV</v>
          </cell>
          <cell r="C187" t="str">
            <v>M¸y biÕn ¸p 1 pha 22/0,23 KV -25 KVA</v>
          </cell>
          <cell r="D187" t="str">
            <v>M¸y</v>
          </cell>
          <cell r="E187">
            <v>1</v>
          </cell>
          <cell r="F187">
            <v>47.89</v>
          </cell>
          <cell r="G187">
            <v>12442833</v>
          </cell>
        </row>
        <row r="188">
          <cell r="B188" t="str">
            <v>37.5KVA-22/0,23 KV</v>
          </cell>
          <cell r="C188" t="str">
            <v>M¸y biÕn ¸p 1 pha 22/0,23 KV -37.5 KVA</v>
          </cell>
          <cell r="D188" t="str">
            <v>M¸y</v>
          </cell>
          <cell r="E188">
            <v>1</v>
          </cell>
          <cell r="F188">
            <v>57.89</v>
          </cell>
          <cell r="G188">
            <v>17689994</v>
          </cell>
        </row>
        <row r="189">
          <cell r="B189" t="str">
            <v>50KVA-22/0,23 KV</v>
          </cell>
          <cell r="C189" t="str">
            <v>M¸y biÕn ¸p 1 pha 22/0,23 KV -50 KVA</v>
          </cell>
          <cell r="D189" t="str">
            <v>M¸y</v>
          </cell>
          <cell r="E189">
            <v>1</v>
          </cell>
          <cell r="F189">
            <v>16.5</v>
          </cell>
          <cell r="G189">
            <v>21567890</v>
          </cell>
        </row>
        <row r="190">
          <cell r="C190" t="str">
            <v xml:space="preserve">M¸y biÕn ¸p 22(11)/0,23 KV </v>
          </cell>
        </row>
        <row r="191">
          <cell r="B191" t="str">
            <v>15KVA-22(11)/0,23 KV</v>
          </cell>
          <cell r="C191" t="str">
            <v>M¸y biÕn ¸p 1 pha 22(11)/0,23 KV -15 KVA</v>
          </cell>
          <cell r="D191" t="str">
            <v>M¸y</v>
          </cell>
          <cell r="E191">
            <v>1</v>
          </cell>
          <cell r="F191">
            <v>36.78</v>
          </cell>
          <cell r="G191">
            <v>9794889</v>
          </cell>
        </row>
        <row r="192">
          <cell r="B192" t="str">
            <v>25KVA-22(11)/0,23 KV</v>
          </cell>
          <cell r="C192" t="str">
            <v>M¸y biÕn ¸p 1 pha 22(11)/0,23 KV -25 KVA</v>
          </cell>
          <cell r="D192" t="str">
            <v>M¸y</v>
          </cell>
          <cell r="E192">
            <v>1</v>
          </cell>
          <cell r="F192">
            <v>47.89</v>
          </cell>
          <cell r="G192">
            <v>12442833</v>
          </cell>
        </row>
        <row r="193">
          <cell r="B193" t="str">
            <v>37.5KVA-22(11)/0,23 KV</v>
          </cell>
          <cell r="C193" t="str">
            <v>M¸y biÕn ¸p 1 pha 22(11)/0,23 KV -37.5 KVA</v>
          </cell>
          <cell r="D193" t="str">
            <v>M¸y</v>
          </cell>
          <cell r="E193">
            <v>1</v>
          </cell>
          <cell r="F193">
            <v>57.89</v>
          </cell>
          <cell r="G193">
            <v>17689994</v>
          </cell>
        </row>
        <row r="194">
          <cell r="B194" t="str">
            <v>50KVA-22(11)/0,23 KV</v>
          </cell>
          <cell r="C194" t="str">
            <v>M¸y biÕn ¸p 1 pha 22(11)/0,23 KV -50 KVA</v>
          </cell>
          <cell r="D194" t="str">
            <v>M¸y</v>
          </cell>
          <cell r="E194">
            <v>1</v>
          </cell>
          <cell r="F194">
            <v>16.5</v>
          </cell>
          <cell r="G194">
            <v>21567890</v>
          </cell>
        </row>
        <row r="195">
          <cell r="C195" t="str">
            <v>Tñ ®iÖn c¸c lo¹i</v>
          </cell>
        </row>
        <row r="196">
          <cell r="B196" t="str">
            <v>T§-MBA 1fa-15KVA</v>
          </cell>
          <cell r="C196" t="str">
            <v>Tñ ®iÖn h¹ ¸p cho MBA 1 pha 15 KVA</v>
          </cell>
          <cell r="D196" t="str">
            <v>C¸i</v>
          </cell>
          <cell r="E196" t="str">
            <v>1</v>
          </cell>
          <cell r="F196">
            <v>21.67</v>
          </cell>
          <cell r="G196">
            <v>3300000</v>
          </cell>
        </row>
        <row r="197">
          <cell r="B197" t="str">
            <v>T§-MBA 1fa-25KVA</v>
          </cell>
          <cell r="C197" t="str">
            <v>Tñ ®iÖn h¹ ¸p cho MBA 1 pha 25 KVA</v>
          </cell>
          <cell r="D197" t="str">
            <v>C¸i</v>
          </cell>
          <cell r="E197" t="str">
            <v>1</v>
          </cell>
          <cell r="F197">
            <v>37</v>
          </cell>
          <cell r="G197">
            <v>5300000</v>
          </cell>
        </row>
        <row r="198">
          <cell r="B198" t="str">
            <v>T§-MBA 1fa-37.5KVA</v>
          </cell>
          <cell r="C198" t="str">
            <v>Tñ ®iÖn h¹ ¸p cho MBA 1 pha 37.5 KVA</v>
          </cell>
          <cell r="D198" t="str">
            <v>C¸i</v>
          </cell>
          <cell r="E198" t="str">
            <v>1</v>
          </cell>
          <cell r="F198">
            <v>45</v>
          </cell>
          <cell r="G198">
            <v>7300000</v>
          </cell>
        </row>
        <row r="199">
          <cell r="B199" t="str">
            <v>T§-MBA 1fa-50KVA</v>
          </cell>
          <cell r="C199" t="str">
            <v>Tñ ®iÖn h¹ ¸p cho MBA 1 pha 50 KVA</v>
          </cell>
          <cell r="D199" t="str">
            <v>C¸i</v>
          </cell>
          <cell r="E199" t="str">
            <v>1</v>
          </cell>
          <cell r="F199">
            <v>105</v>
          </cell>
          <cell r="G199">
            <v>8300000</v>
          </cell>
        </row>
        <row r="200">
          <cell r="B200" t="str">
            <v>T§-MBA 3fa-50KVA</v>
          </cell>
          <cell r="C200" t="str">
            <v>Tñ ®iÖn h¹ ¸p cho MBA 3 pha 50 KVA</v>
          </cell>
          <cell r="D200" t="str">
            <v>C¸i</v>
          </cell>
          <cell r="E200" t="str">
            <v>1</v>
          </cell>
          <cell r="F200">
            <v>105</v>
          </cell>
          <cell r="G200">
            <v>11300000</v>
          </cell>
        </row>
        <row r="201">
          <cell r="B201" t="str">
            <v>T§-MBA 3fa-75KVA</v>
          </cell>
          <cell r="C201" t="str">
            <v>Tñ ®iÖn h¹ ¸p cho MBA 3 pha 75 KVA</v>
          </cell>
          <cell r="D201" t="str">
            <v>C¸i</v>
          </cell>
          <cell r="E201" t="str">
            <v>1</v>
          </cell>
          <cell r="F201">
            <v>105</v>
          </cell>
          <cell r="G201">
            <v>13300000</v>
          </cell>
        </row>
        <row r="202">
          <cell r="B202" t="str">
            <v>T§-MBA 3fa-100KVA</v>
          </cell>
          <cell r="C202" t="str">
            <v>Tñ ®iÖn h¹ ¸p cho MBA 3 pha 100 KVA</v>
          </cell>
          <cell r="D202" t="str">
            <v>C¸i</v>
          </cell>
          <cell r="E202" t="str">
            <v>1</v>
          </cell>
          <cell r="F202">
            <v>138</v>
          </cell>
          <cell r="G202">
            <v>15300000</v>
          </cell>
        </row>
        <row r="203">
          <cell r="B203" t="str">
            <v>T§-MBA 3fa-160KVA</v>
          </cell>
          <cell r="C203" t="str">
            <v>Tñ ®iÖn h¹ ¸p cho MBA 3 pha 160 KVA</v>
          </cell>
          <cell r="D203" t="str">
            <v>C¸i</v>
          </cell>
          <cell r="E203" t="str">
            <v>1</v>
          </cell>
          <cell r="F203">
            <v>138</v>
          </cell>
          <cell r="G203">
            <v>17300000</v>
          </cell>
        </row>
        <row r="204">
          <cell r="B204" t="str">
            <v>T§-MBA 3fa-180KVA</v>
          </cell>
          <cell r="C204" t="str">
            <v>Tñ ®iÖn h¹ ¸p cho MBA 3 pha 180 KVA</v>
          </cell>
          <cell r="D204" t="str">
            <v>C¸i</v>
          </cell>
          <cell r="E204" t="str">
            <v>1</v>
          </cell>
          <cell r="F204">
            <v>138</v>
          </cell>
          <cell r="G204">
            <v>19300000</v>
          </cell>
        </row>
        <row r="205">
          <cell r="B205" t="str">
            <v>T§-MBA 3fa-250KVA</v>
          </cell>
          <cell r="C205" t="str">
            <v>Tñ ®iÖn h¹ ¸p cho MBA 3 pha 250 KVA</v>
          </cell>
          <cell r="D205" t="str">
            <v>C¸i</v>
          </cell>
          <cell r="E205" t="str">
            <v>1</v>
          </cell>
          <cell r="F205">
            <v>138</v>
          </cell>
          <cell r="G205">
            <v>20300000</v>
          </cell>
        </row>
        <row r="206">
          <cell r="B206" t="str">
            <v>T§-MBA 3fa-320KVA</v>
          </cell>
          <cell r="C206" t="str">
            <v>Tñ ®iÖn h¹ ¸p cho MBA 3 pha 320 KVA</v>
          </cell>
          <cell r="D206" t="str">
            <v>C¸i</v>
          </cell>
          <cell r="E206" t="str">
            <v>1</v>
          </cell>
          <cell r="F206">
            <v>138</v>
          </cell>
          <cell r="G206">
            <v>25500000</v>
          </cell>
        </row>
        <row r="207">
          <cell r="B207" t="str">
            <v>T§-MBA 3fa-400KVA</v>
          </cell>
          <cell r="C207" t="str">
            <v>Tñ ®iÖn h¹ ¸p cho MBA 3 pha 400 KVA</v>
          </cell>
          <cell r="D207" t="str">
            <v>C¸i</v>
          </cell>
          <cell r="E207" t="str">
            <v>1</v>
          </cell>
          <cell r="F207">
            <v>138</v>
          </cell>
          <cell r="G207">
            <v>27500000</v>
          </cell>
        </row>
        <row r="208">
          <cell r="B208" t="str">
            <v>T§-MBA 3fa-560KVA</v>
          </cell>
          <cell r="C208" t="str">
            <v>Tñ ®iÖn h¹ ¸p cho MBA 3 pha 560 KVA</v>
          </cell>
          <cell r="D208" t="str">
            <v>C¸i</v>
          </cell>
          <cell r="E208" t="str">
            <v>1</v>
          </cell>
          <cell r="F208">
            <v>138</v>
          </cell>
          <cell r="G208">
            <v>31500000</v>
          </cell>
        </row>
        <row r="209">
          <cell r="B209" t="str">
            <v>T§-MBA 3fa-630KVA</v>
          </cell>
          <cell r="C209" t="str">
            <v>Tñ ®iÖn h¹ ¸p cho MBA 3 pha 630 KVA</v>
          </cell>
          <cell r="D209" t="str">
            <v>C¸i</v>
          </cell>
          <cell r="E209" t="str">
            <v>1</v>
          </cell>
          <cell r="F209">
            <v>138</v>
          </cell>
          <cell r="G209">
            <v>36800000</v>
          </cell>
        </row>
      </sheetData>
      <sheetData sheetId="2" refreshError="1">
        <row r="7">
          <cell r="A7">
            <v>1</v>
          </cell>
          <cell r="B7" t="str">
            <v>02.1211</v>
          </cell>
          <cell r="C7" t="str">
            <v>02.1212</v>
          </cell>
          <cell r="D7" t="str">
            <v>02.1213</v>
          </cell>
          <cell r="E7" t="str">
            <v>02.1214</v>
          </cell>
          <cell r="F7" t="str">
            <v xml:space="preserve">V/c xi m¨ng </v>
          </cell>
          <cell r="G7" t="str">
            <v>TÊn</v>
          </cell>
          <cell r="H7">
            <v>144624</v>
          </cell>
          <cell r="I7">
            <v>136029</v>
          </cell>
          <cell r="J7">
            <v>134844</v>
          </cell>
          <cell r="K7">
            <v>133955</v>
          </cell>
        </row>
        <row r="8">
          <cell r="A8">
            <v>2</v>
          </cell>
          <cell r="B8" t="str">
            <v>02.1221</v>
          </cell>
          <cell r="C8" t="str">
            <v>02.1222</v>
          </cell>
          <cell r="D8" t="str">
            <v>02.1223</v>
          </cell>
          <cell r="E8" t="str">
            <v>02.1224</v>
          </cell>
          <cell r="F8" t="str">
            <v>V/c c¸t ®en</v>
          </cell>
          <cell r="G8" t="str">
            <v>m3</v>
          </cell>
          <cell r="H8">
            <v>130398</v>
          </cell>
          <cell r="I8">
            <v>124768</v>
          </cell>
          <cell r="J8">
            <v>123582</v>
          </cell>
          <cell r="K8">
            <v>122989</v>
          </cell>
        </row>
        <row r="9">
          <cell r="A9">
            <v>3</v>
          </cell>
          <cell r="B9" t="str">
            <v>02.1231</v>
          </cell>
          <cell r="C9" t="str">
            <v>02.1232</v>
          </cell>
          <cell r="D9" t="str">
            <v>02.1233</v>
          </cell>
          <cell r="E9" t="str">
            <v>02.1234</v>
          </cell>
          <cell r="F9" t="str">
            <v xml:space="preserve">V/c c¸t vµng </v>
          </cell>
          <cell r="G9" t="str">
            <v>m3</v>
          </cell>
          <cell r="H9">
            <v>135437</v>
          </cell>
          <cell r="I9">
            <v>129509</v>
          </cell>
          <cell r="J9">
            <v>128324</v>
          </cell>
          <cell r="K9">
            <v>126842</v>
          </cell>
        </row>
        <row r="10">
          <cell r="A10">
            <v>4</v>
          </cell>
          <cell r="B10" t="str">
            <v>02.1241</v>
          </cell>
          <cell r="C10" t="str">
            <v>02.1242</v>
          </cell>
          <cell r="D10" t="str">
            <v>02.1243</v>
          </cell>
          <cell r="E10" t="str">
            <v>02.1244</v>
          </cell>
          <cell r="F10" t="str">
            <v>V/c ®¸ d¨m  c¸c lo¹i</v>
          </cell>
          <cell r="G10" t="str">
            <v>m3</v>
          </cell>
          <cell r="H10">
            <v>142253</v>
          </cell>
          <cell r="I10">
            <v>136326</v>
          </cell>
          <cell r="J10">
            <v>135140</v>
          </cell>
          <cell r="K10">
            <v>134251</v>
          </cell>
        </row>
        <row r="11">
          <cell r="A11">
            <v>5</v>
          </cell>
          <cell r="B11" t="str">
            <v>02.1251</v>
          </cell>
          <cell r="C11" t="str">
            <v>02.1252</v>
          </cell>
          <cell r="D11" t="str">
            <v>02.1253</v>
          </cell>
          <cell r="E11" t="str">
            <v>02.1254</v>
          </cell>
          <cell r="F11" t="str">
            <v>V/c §¸ héc</v>
          </cell>
          <cell r="G11" t="str">
            <v>m3</v>
          </cell>
          <cell r="H11">
            <v>133955</v>
          </cell>
          <cell r="I11">
            <v>126249</v>
          </cell>
          <cell r="J11">
            <v>124768</v>
          </cell>
          <cell r="K11">
            <v>120322</v>
          </cell>
        </row>
        <row r="12">
          <cell r="A12">
            <v>6</v>
          </cell>
          <cell r="B12" t="str">
            <v>02.1331</v>
          </cell>
          <cell r="C12" t="str">
            <v>02.1332</v>
          </cell>
          <cell r="D12" t="str">
            <v>02.1333</v>
          </cell>
          <cell r="E12" t="str">
            <v>02.1334</v>
          </cell>
          <cell r="F12" t="str">
            <v xml:space="preserve">V/c gç cèt pha </v>
          </cell>
          <cell r="G12" t="str">
            <v>m3</v>
          </cell>
          <cell r="H12">
            <v>115580</v>
          </cell>
          <cell r="I12">
            <v>110839</v>
          </cell>
          <cell r="J12">
            <v>109357</v>
          </cell>
          <cell r="K12">
            <v>108468</v>
          </cell>
        </row>
        <row r="13">
          <cell r="A13">
            <v>7</v>
          </cell>
          <cell r="B13" t="str">
            <v>02.1321</v>
          </cell>
          <cell r="C13" t="str">
            <v>02.1322</v>
          </cell>
          <cell r="D13" t="str">
            <v>02.1323</v>
          </cell>
          <cell r="E13" t="str">
            <v>02.1324</v>
          </cell>
          <cell r="F13" t="str">
            <v xml:space="preserve">V/c n­íc thi c«ng </v>
          </cell>
          <cell r="G13" t="str">
            <v>m3</v>
          </cell>
          <cell r="H13">
            <v>116469</v>
          </cell>
          <cell r="I13">
            <v>114691</v>
          </cell>
          <cell r="J13">
            <v>99873</v>
          </cell>
          <cell r="K13">
            <v>97502</v>
          </cell>
        </row>
        <row r="14">
          <cell r="A14">
            <v>8</v>
          </cell>
          <cell r="B14" t="str">
            <v>02.1351</v>
          </cell>
          <cell r="C14" t="str">
            <v>02.1352</v>
          </cell>
          <cell r="D14" t="str">
            <v>02.1353</v>
          </cell>
          <cell r="E14" t="str">
            <v>02.1354</v>
          </cell>
          <cell r="F14" t="str">
            <v>V/c Bu l«ng, tiÕp ®Þa, cèt thÐp, d©y nÐo</v>
          </cell>
          <cell r="G14" t="str">
            <v>TÊn</v>
          </cell>
          <cell r="H14">
            <v>221974</v>
          </cell>
          <cell r="I14">
            <v>208341</v>
          </cell>
          <cell r="J14">
            <v>205674</v>
          </cell>
          <cell r="K14">
            <v>188781</v>
          </cell>
        </row>
        <row r="15">
          <cell r="A15">
            <v>9</v>
          </cell>
          <cell r="B15" t="str">
            <v>02.1361</v>
          </cell>
          <cell r="C15" t="str">
            <v>02.1362</v>
          </cell>
          <cell r="D15" t="str">
            <v>02.1363</v>
          </cell>
          <cell r="E15" t="str">
            <v>02.1364</v>
          </cell>
          <cell r="F15" t="str">
            <v>V/c Cét thÐp ch­a l¾p tõng thanh</v>
          </cell>
          <cell r="G15" t="str">
            <v>TÊn</v>
          </cell>
          <cell r="H15">
            <v>201821</v>
          </cell>
          <cell r="I15">
            <v>189374</v>
          </cell>
          <cell r="J15">
            <v>187003</v>
          </cell>
          <cell r="K15">
            <v>185225</v>
          </cell>
        </row>
        <row r="16">
          <cell r="A16">
            <v>10</v>
          </cell>
          <cell r="B16" t="str">
            <v>02.1461</v>
          </cell>
          <cell r="C16" t="str">
            <v>02.1462</v>
          </cell>
          <cell r="D16" t="str">
            <v>02.1463</v>
          </cell>
          <cell r="E16" t="str">
            <v>02.1464</v>
          </cell>
          <cell r="F16" t="str">
            <v>V/c cét bª t«ng ly t©m</v>
          </cell>
          <cell r="G16" t="str">
            <v>TÊn</v>
          </cell>
          <cell r="H16">
            <v>282431</v>
          </cell>
          <cell r="I16">
            <v>265242</v>
          </cell>
          <cell r="J16">
            <v>261686</v>
          </cell>
          <cell r="K16">
            <v>259315</v>
          </cell>
        </row>
        <row r="17">
          <cell r="A17">
            <v>11</v>
          </cell>
          <cell r="B17" t="str">
            <v>02.1391</v>
          </cell>
          <cell r="C17" t="str">
            <v>02.1392</v>
          </cell>
          <cell r="D17" t="str">
            <v>02.1393</v>
          </cell>
          <cell r="E17" t="str">
            <v>02.1394</v>
          </cell>
          <cell r="F17" t="str">
            <v>Cäc tre dµi 1.5 - 2.5 m</v>
          </cell>
          <cell r="G17" t="str">
            <v>100 C¸i</v>
          </cell>
          <cell r="H17">
            <v>36156</v>
          </cell>
          <cell r="I17">
            <v>34081</v>
          </cell>
          <cell r="J17">
            <v>33785</v>
          </cell>
          <cell r="K17">
            <v>33489</v>
          </cell>
        </row>
        <row r="18">
          <cell r="A18">
            <v>12</v>
          </cell>
          <cell r="B18" t="str">
            <v>02.1411</v>
          </cell>
          <cell r="C18" t="str">
            <v>02.1412</v>
          </cell>
          <cell r="D18" t="str">
            <v>02.1413</v>
          </cell>
          <cell r="E18" t="str">
            <v>02.1414</v>
          </cell>
          <cell r="F18" t="str">
            <v xml:space="preserve">V/cTre c©yphi 8, dµi 6 - 8m </v>
          </cell>
          <cell r="G18" t="str">
            <v>100 C©y</v>
          </cell>
          <cell r="H18">
            <v>266131</v>
          </cell>
          <cell r="I18">
            <v>250424</v>
          </cell>
          <cell r="J18">
            <v>247164</v>
          </cell>
          <cell r="K18">
            <v>244497</v>
          </cell>
        </row>
        <row r="19">
          <cell r="A19">
            <v>13</v>
          </cell>
          <cell r="B19" t="str">
            <v>02.1381</v>
          </cell>
          <cell r="C19" t="str">
            <v>02.1382</v>
          </cell>
          <cell r="D19" t="str">
            <v>02.1383</v>
          </cell>
          <cell r="E19" t="str">
            <v>02.1384</v>
          </cell>
          <cell r="F19" t="str">
            <v>V/c G¹ch chØ</v>
          </cell>
          <cell r="G19" t="str">
            <v>1000 V</v>
          </cell>
          <cell r="H19">
            <v>206267</v>
          </cell>
          <cell r="I19">
            <v>156774</v>
          </cell>
          <cell r="J19">
            <v>152625</v>
          </cell>
          <cell r="K19">
            <v>149662</v>
          </cell>
        </row>
        <row r="20">
          <cell r="A20">
            <v>14</v>
          </cell>
          <cell r="B20" t="str">
            <v>02.1481</v>
          </cell>
          <cell r="C20" t="str">
            <v>02.1482</v>
          </cell>
          <cell r="D20" t="str">
            <v>02.1483</v>
          </cell>
          <cell r="E20" t="str">
            <v>02.1484</v>
          </cell>
          <cell r="F20" t="str">
            <v>V/c dông cô thi c«ng</v>
          </cell>
          <cell r="G20" t="str">
            <v>TÊn</v>
          </cell>
          <cell r="H20">
            <v>183447</v>
          </cell>
          <cell r="I20">
            <v>170407</v>
          </cell>
          <cell r="J20">
            <v>168332</v>
          </cell>
          <cell r="K20">
            <v>166851</v>
          </cell>
        </row>
        <row r="21">
          <cell r="A21">
            <v>15</v>
          </cell>
          <cell r="B21" t="str">
            <v>02.1451</v>
          </cell>
          <cell r="C21" t="str">
            <v>02.1452</v>
          </cell>
          <cell r="D21" t="str">
            <v>02.1453</v>
          </cell>
          <cell r="E21" t="str">
            <v>02.1454</v>
          </cell>
          <cell r="F21" t="str">
            <v xml:space="preserve">V/c cÊu kiÖn bª t«ng ®óc s½n </v>
          </cell>
          <cell r="G21" t="str">
            <v>TÊn</v>
          </cell>
          <cell r="H21">
            <v>181669</v>
          </cell>
          <cell r="I21">
            <v>170407</v>
          </cell>
          <cell r="J21">
            <v>168332</v>
          </cell>
          <cell r="K21">
            <v>166554</v>
          </cell>
        </row>
        <row r="22">
          <cell r="A22">
            <v>16</v>
          </cell>
          <cell r="B22" t="str">
            <v>02.1441</v>
          </cell>
          <cell r="C22" t="str">
            <v>02.1442</v>
          </cell>
          <cell r="D22" t="str">
            <v>02.1443</v>
          </cell>
          <cell r="E22" t="str">
            <v>02.1444</v>
          </cell>
          <cell r="F22" t="str">
            <v>V/c d©y c¸p ®iÖn, d©y dÉn, d©y chèng sÐt</v>
          </cell>
          <cell r="G22" t="str">
            <v>TÊn</v>
          </cell>
          <cell r="H22">
            <v>201821</v>
          </cell>
          <cell r="I22">
            <v>189078</v>
          </cell>
          <cell r="J22">
            <v>187003</v>
          </cell>
          <cell r="K22">
            <v>185225</v>
          </cell>
        </row>
        <row r="23">
          <cell r="A23">
            <v>17</v>
          </cell>
          <cell r="B23" t="str">
            <v>02.1421</v>
          </cell>
          <cell r="C23" t="str">
            <v>02.1422</v>
          </cell>
          <cell r="D23" t="str">
            <v>02.1423</v>
          </cell>
          <cell r="E23" t="str">
            <v>02.1424</v>
          </cell>
          <cell r="F23" t="str">
            <v>V/c phô kiÖn c¸c lo¹i</v>
          </cell>
          <cell r="G23" t="str">
            <v>TÊn</v>
          </cell>
          <cell r="H23">
            <v>199747</v>
          </cell>
          <cell r="I23">
            <v>187596</v>
          </cell>
          <cell r="J23">
            <v>185225</v>
          </cell>
          <cell r="K23">
            <v>183150</v>
          </cell>
        </row>
        <row r="24">
          <cell r="A24">
            <v>18</v>
          </cell>
          <cell r="B24" t="str">
            <v>02.1431</v>
          </cell>
          <cell r="C24" t="str">
            <v>02.1432</v>
          </cell>
          <cell r="D24" t="str">
            <v>02.1433</v>
          </cell>
          <cell r="E24" t="str">
            <v>02.1434</v>
          </cell>
          <cell r="F24" t="str">
            <v xml:space="preserve">V/c sø b»ng thñ c«ng </v>
          </cell>
          <cell r="G24" t="str">
            <v>TÊn</v>
          </cell>
          <cell r="H24">
            <v>262279</v>
          </cell>
          <cell r="I24">
            <v>246275</v>
          </cell>
          <cell r="J24">
            <v>243015</v>
          </cell>
          <cell r="K24">
            <v>240644</v>
          </cell>
        </row>
        <row r="25">
          <cell r="A25">
            <v>19</v>
          </cell>
          <cell r="B25" t="str">
            <v>02.1471</v>
          </cell>
          <cell r="C25" t="str">
            <v>02.1472</v>
          </cell>
          <cell r="D25" t="str">
            <v>02.1473</v>
          </cell>
          <cell r="E25" t="str">
            <v>02.1474</v>
          </cell>
          <cell r="F25" t="str">
            <v>V/c bi tum</v>
          </cell>
          <cell r="G25" t="str">
            <v>TÊn</v>
          </cell>
          <cell r="H25">
            <v>126429</v>
          </cell>
          <cell r="I25">
            <v>114395</v>
          </cell>
          <cell r="J25">
            <v>112024</v>
          </cell>
          <cell r="K25">
            <v>110542</v>
          </cell>
        </row>
        <row r="26">
          <cell r="A26">
            <v>20</v>
          </cell>
          <cell r="B26" t="str">
            <v>02.1261</v>
          </cell>
          <cell r="C26" t="str">
            <v>02.1262</v>
          </cell>
          <cell r="D26" t="str">
            <v>02.1263</v>
          </cell>
          <cell r="E26" t="str">
            <v>02.1264</v>
          </cell>
          <cell r="F26" t="str">
            <v>V/C §Êt cÊp 1</v>
          </cell>
          <cell r="G26" t="str">
            <v>m3</v>
          </cell>
          <cell r="H26">
            <v>130695</v>
          </cell>
          <cell r="I26">
            <v>125064</v>
          </cell>
          <cell r="J26">
            <v>123878</v>
          </cell>
          <cell r="K26">
            <v>122989</v>
          </cell>
        </row>
        <row r="27">
          <cell r="A27">
            <v>21</v>
          </cell>
          <cell r="B27" t="str">
            <v>02.1271</v>
          </cell>
          <cell r="C27" t="str">
            <v>02.1271</v>
          </cell>
          <cell r="D27" t="str">
            <v>02.1271</v>
          </cell>
          <cell r="E27" t="str">
            <v>02.1271</v>
          </cell>
          <cell r="F27" t="str">
            <v>V/C §Êt cÊp 2</v>
          </cell>
          <cell r="G27" t="str">
            <v>m3</v>
          </cell>
          <cell r="H27">
            <v>135140</v>
          </cell>
          <cell r="I27">
            <v>128917</v>
          </cell>
          <cell r="J27">
            <v>127731</v>
          </cell>
          <cell r="K27">
            <v>126842</v>
          </cell>
        </row>
        <row r="28">
          <cell r="A28">
            <v>22</v>
          </cell>
          <cell r="B28" t="str">
            <v>02.1281</v>
          </cell>
          <cell r="C28" t="str">
            <v>02.1281</v>
          </cell>
          <cell r="D28" t="str">
            <v>02.1281</v>
          </cell>
          <cell r="E28" t="str">
            <v>02.1281</v>
          </cell>
          <cell r="F28" t="str">
            <v>V/C §Êt cÊp 3</v>
          </cell>
          <cell r="G28" t="str">
            <v>m3</v>
          </cell>
          <cell r="H28">
            <v>145513</v>
          </cell>
          <cell r="I28">
            <v>139882</v>
          </cell>
          <cell r="J28">
            <v>138696</v>
          </cell>
          <cell r="K28">
            <v>137807</v>
          </cell>
        </row>
        <row r="29">
          <cell r="A29">
            <v>23</v>
          </cell>
          <cell r="B29" t="str">
            <v>02.1291</v>
          </cell>
          <cell r="C29" t="str">
            <v>02.1291</v>
          </cell>
          <cell r="D29" t="str">
            <v>02.1291</v>
          </cell>
          <cell r="E29" t="str">
            <v>02.1291</v>
          </cell>
          <cell r="F29" t="str">
            <v>V/C §Êt cÊp 4</v>
          </cell>
          <cell r="G29" t="str">
            <v>m3</v>
          </cell>
          <cell r="H29">
            <v>157071</v>
          </cell>
          <cell r="I29">
            <v>151144</v>
          </cell>
          <cell r="J29">
            <v>149958</v>
          </cell>
          <cell r="K29">
            <v>149069</v>
          </cell>
        </row>
      </sheetData>
      <sheetData sheetId="3" refreshError="1">
        <row r="7">
          <cell r="B7">
            <v>1</v>
          </cell>
          <cell r="C7" t="str">
            <v>C«ng t¸c san mÆt b»ng</v>
          </cell>
        </row>
        <row r="8">
          <cell r="B8">
            <v>1.1000000000000001</v>
          </cell>
          <cell r="C8" t="str">
            <v>San s÷a mÆt b»ng b»ng thñ c«ng</v>
          </cell>
        </row>
        <row r="9">
          <cell r="B9" t="str">
            <v>01.8111</v>
          </cell>
          <cell r="C9" t="str">
            <v>San s÷a mÆt b»ng b»ng thñ c«ng, ®Êt cÊp 1</v>
          </cell>
          <cell r="D9" t="str">
            <v>m2</v>
          </cell>
          <cell r="F9">
            <v>1482</v>
          </cell>
        </row>
        <row r="10">
          <cell r="B10" t="str">
            <v>01.8112</v>
          </cell>
          <cell r="C10" t="str">
            <v>San s÷a mÆt b»ng b»ng thñ c«ng, ®Êt cÊp 2</v>
          </cell>
          <cell r="D10" t="str">
            <v>m2</v>
          </cell>
          <cell r="F10">
            <v>1778</v>
          </cell>
        </row>
        <row r="11">
          <cell r="B11" t="str">
            <v>01.8113</v>
          </cell>
          <cell r="C11" t="str">
            <v>San s÷a mÆt b»ng b»ng thñ c«ng, ®Êt cÊp 3</v>
          </cell>
          <cell r="D11" t="str">
            <v>m2</v>
          </cell>
          <cell r="F11">
            <v>2075</v>
          </cell>
        </row>
        <row r="12">
          <cell r="B12" t="str">
            <v>01.8114</v>
          </cell>
          <cell r="C12" t="str">
            <v>San s÷a mÆt b»ng b»ng thñ c«ng, ®Êt cÊp 4</v>
          </cell>
          <cell r="D12" t="str">
            <v>m2</v>
          </cell>
          <cell r="F12">
            <v>2371</v>
          </cell>
        </row>
        <row r="13">
          <cell r="B13" t="str">
            <v>1.2</v>
          </cell>
          <cell r="C13" t="str">
            <v>Lµm kho b·i t¹m</v>
          </cell>
        </row>
        <row r="14">
          <cell r="B14" t="str">
            <v>01.9001</v>
          </cell>
          <cell r="C14" t="str">
            <v>Lµm kho kÝn</v>
          </cell>
          <cell r="D14" t="str">
            <v>m2</v>
          </cell>
          <cell r="E14">
            <v>95445</v>
          </cell>
          <cell r="F14">
            <v>48899</v>
          </cell>
        </row>
        <row r="15">
          <cell r="B15" t="str">
            <v>01.9002</v>
          </cell>
          <cell r="C15" t="str">
            <v>Lµm kho hë</v>
          </cell>
          <cell r="D15" t="str">
            <v>m2</v>
          </cell>
          <cell r="E15">
            <v>65888</v>
          </cell>
          <cell r="F15">
            <v>44158</v>
          </cell>
        </row>
        <row r="16">
          <cell r="B16">
            <v>1.3</v>
          </cell>
          <cell r="C16" t="str">
            <v>C«ng t¸c ph¸t tuyÕn</v>
          </cell>
        </row>
        <row r="17">
          <cell r="C17" t="str">
            <v xml:space="preserve">TuyÕn lo¹i 1 : TuyÕn ®i qua ®åi tranh lau l¸ch, sim..., ThØnh tho¶ng cã c©y non hoÆc c©y cã ®­êng kÝnh D=&gt;10 cm </v>
          </cell>
        </row>
        <row r="18">
          <cell r="B18" t="str">
            <v>01.1111</v>
          </cell>
          <cell r="C18" t="str">
            <v>TuyÕn lo¹i 1; mËt ®é 0 c©y tiªu chuÈn trªn 100m2, b»ng ph¼ng</v>
          </cell>
          <cell r="D18" t="str">
            <v>m2</v>
          </cell>
          <cell r="F18">
            <v>308.20999999999998</v>
          </cell>
        </row>
        <row r="19">
          <cell r="B19" t="str">
            <v>01.1112</v>
          </cell>
          <cell r="C19" t="str">
            <v>TuyÕn lo¹i 1; mËt ®é 2 c©y tiªu chuÈn trªn 100m2, b»ng ph¼ng</v>
          </cell>
          <cell r="D19" t="str">
            <v>m2</v>
          </cell>
          <cell r="F19">
            <v>462.32</v>
          </cell>
        </row>
        <row r="20">
          <cell r="B20" t="str">
            <v>01.1113</v>
          </cell>
          <cell r="C20" t="str">
            <v>TuyÕn lo¹i 1; mËt ®é 3 c©y tiªu chuÈn trªn 100m2, b»ng ph¼ng</v>
          </cell>
          <cell r="D20" t="str">
            <v>m2</v>
          </cell>
          <cell r="F20">
            <v>533.45000000000005</v>
          </cell>
        </row>
        <row r="21">
          <cell r="B21" t="str">
            <v>01.1121</v>
          </cell>
          <cell r="C21" t="str">
            <v>TuyÕn lo¹i 1; mËt ®é 0 c©y tiªu chuÈn trªn 100m2, dèc &gt;25o</v>
          </cell>
          <cell r="D21" t="str">
            <v>m2</v>
          </cell>
          <cell r="F21">
            <v>355.63</v>
          </cell>
        </row>
        <row r="22">
          <cell r="B22" t="str">
            <v>01.1122</v>
          </cell>
          <cell r="C22" t="str">
            <v>TuyÕn lo¹i 1; mËt ®é 2 c©y tiªu chuÈn trªn 100m2, dèc &gt;25o</v>
          </cell>
          <cell r="D22" t="str">
            <v>m2</v>
          </cell>
          <cell r="F22">
            <v>530.48</v>
          </cell>
        </row>
        <row r="23">
          <cell r="B23" t="str">
            <v>01.1123</v>
          </cell>
          <cell r="C23" t="str">
            <v>TuyÕn lo¹i 1; mËt ®é 3 c©y tiªu chuÈn trªn 100m2, dèc &gt;25o</v>
          </cell>
          <cell r="D23" t="str">
            <v>m2</v>
          </cell>
          <cell r="F23">
            <v>643.1</v>
          </cell>
        </row>
        <row r="24">
          <cell r="B24" t="str">
            <v>01.1131</v>
          </cell>
          <cell r="C24" t="str">
            <v>TuyÕn lo¹i 1; mËt ®é 0 c©y tiªu chuÈn trªn 100m2, s×nh lÇy</v>
          </cell>
          <cell r="D24" t="str">
            <v>m2</v>
          </cell>
          <cell r="F24">
            <v>400.09</v>
          </cell>
        </row>
        <row r="25">
          <cell r="B25" t="str">
            <v>01.1132</v>
          </cell>
          <cell r="C25" t="str">
            <v>TuyÕn lo¹i 1; mËt ®é 2 c©y tiªu chuÈn trªn 100m2, s×nh lÇy</v>
          </cell>
          <cell r="D25" t="str">
            <v>m2</v>
          </cell>
          <cell r="F25">
            <v>601.61</v>
          </cell>
        </row>
        <row r="26">
          <cell r="B26" t="str">
            <v>01.1133</v>
          </cell>
          <cell r="C26" t="str">
            <v>TuyÕn lo¹i 1; mËt ®é 3 c©y tiªu chuÈn trªn 100m2, s×nh lÇy</v>
          </cell>
          <cell r="D26" t="str">
            <v>m2</v>
          </cell>
          <cell r="F26">
            <v>696.45</v>
          </cell>
        </row>
        <row r="27">
          <cell r="C27" t="str">
            <v>TuyÕn lo¹i 2 : TuyÕn ®i qua rõng c©y non, d©y leo chiÕm 2/3 diÖn tÝch vµ cø 100m2 cã 5-25 c©y cã D:5-10cm, xen lÉn c©y D&gt;10cm</v>
          </cell>
        </row>
        <row r="28">
          <cell r="B28" t="str">
            <v>01.1211</v>
          </cell>
          <cell r="C28" t="str">
            <v>TuyÕn lo¹i 2; mËt ®é 0 c©y tiªu chuÈn trªn 100m2, b»ng ph¼ng</v>
          </cell>
          <cell r="D28" t="str">
            <v>m2</v>
          </cell>
          <cell r="F28">
            <v>394.16</v>
          </cell>
        </row>
        <row r="29">
          <cell r="B29" t="str">
            <v>01.1212</v>
          </cell>
          <cell r="C29" t="str">
            <v>TuyÕn lo¹i 2; mËt ®é 2 c©y tiªu chuÈn trªn 100m2, b»ng ph¼ng</v>
          </cell>
          <cell r="D29" t="str">
            <v>m2</v>
          </cell>
          <cell r="F29">
            <v>592.72</v>
          </cell>
        </row>
        <row r="30">
          <cell r="B30" t="str">
            <v>01.1213</v>
          </cell>
          <cell r="C30" t="str">
            <v>TuyÕn lo¹i 2; mËt ®é 3 c©y tiªu chuÈn trªn 100m2, b»ng ph¼ng</v>
          </cell>
          <cell r="D30" t="str">
            <v>m2</v>
          </cell>
          <cell r="F30">
            <v>687.56</v>
          </cell>
        </row>
        <row r="31">
          <cell r="B31" t="str">
            <v>01.1214</v>
          </cell>
          <cell r="C31" t="str">
            <v>TuyÕn lo¹i 2; mËt ®é 5 c©y tiªu chuÈn trªn 100m2, b»ng ph¼ng</v>
          </cell>
          <cell r="D31" t="str">
            <v>m2</v>
          </cell>
          <cell r="F31">
            <v>847.59</v>
          </cell>
        </row>
        <row r="32">
          <cell r="B32" t="str">
            <v>01.1215</v>
          </cell>
          <cell r="C32" t="str">
            <v>TuyÕn lo¹i 2; mËt ®é &gt;5 c©y tiªu chuÈn trªn 100m2, b»ng ph¼ng</v>
          </cell>
          <cell r="D32" t="str">
            <v>m2</v>
          </cell>
          <cell r="F32">
            <v>1069.8599999999999</v>
          </cell>
        </row>
        <row r="33">
          <cell r="B33" t="str">
            <v>01.1221</v>
          </cell>
          <cell r="C33" t="str">
            <v>TuyÕn lo¹i 2; mËt ®é 0 c©y tiªu chuÈn trªn 100m2, dèc &gt;25o</v>
          </cell>
          <cell r="D33" t="str">
            <v>m2</v>
          </cell>
          <cell r="F33">
            <v>453.43</v>
          </cell>
        </row>
        <row r="34">
          <cell r="B34" t="str">
            <v>01.1222</v>
          </cell>
          <cell r="C34" t="str">
            <v>TuyÕn lo¹i 2; mËt ®é 2 c©y tiªu chuÈn trªn 100m2, dèc &gt;25o</v>
          </cell>
          <cell r="D34" t="str">
            <v>m2</v>
          </cell>
          <cell r="F34">
            <v>681.63</v>
          </cell>
        </row>
        <row r="35">
          <cell r="B35" t="str">
            <v>01.1223</v>
          </cell>
          <cell r="C35" t="str">
            <v>TuyÕn lo¹i 2; mËt ®é 3 c©y tiªu chuÈn trªn 100m2, dèc &gt;25o</v>
          </cell>
          <cell r="D35" t="str">
            <v>m2</v>
          </cell>
          <cell r="F35">
            <v>791.28</v>
          </cell>
        </row>
        <row r="36">
          <cell r="B36" t="str">
            <v>01.1224</v>
          </cell>
          <cell r="C36" t="str">
            <v>TuyÕn lo¹i 2; mËt ®é 5 c©y tiªu chuÈn trªn 100m2, dèc &gt;25o</v>
          </cell>
          <cell r="D36" t="str">
            <v>m2</v>
          </cell>
          <cell r="F36">
            <v>975.02</v>
          </cell>
        </row>
        <row r="37">
          <cell r="B37" t="str">
            <v>01.1225</v>
          </cell>
          <cell r="C37" t="str">
            <v>TuyÕn lo¹i 2; mËt ®é &gt;5 c©y tiªu chuÈn trªn 100m2, dèc &gt;25o</v>
          </cell>
          <cell r="D37" t="str">
            <v>m2</v>
          </cell>
          <cell r="F37">
            <v>1226.93</v>
          </cell>
        </row>
        <row r="38">
          <cell r="B38" t="str">
            <v>01.1231</v>
          </cell>
          <cell r="C38" t="str">
            <v>TuyÕn lo¹i 2; mËt ®é 0 c©y tiªu chuÈn trªn 100m2, s×nh lÇy</v>
          </cell>
          <cell r="D38" t="str">
            <v>m2</v>
          </cell>
          <cell r="F38">
            <v>512.70000000000005</v>
          </cell>
        </row>
        <row r="39">
          <cell r="B39" t="str">
            <v>01.1232</v>
          </cell>
          <cell r="C39" t="str">
            <v>TuyÕn lo¹i 2; mËt ®é 2 c©y tiªu chuÈn trªn 100m2, s×nh lÇy</v>
          </cell>
          <cell r="D39" t="str">
            <v>m2</v>
          </cell>
          <cell r="F39">
            <v>770.54</v>
          </cell>
        </row>
        <row r="40">
          <cell r="B40" t="str">
            <v>01.1233</v>
          </cell>
          <cell r="C40" t="str">
            <v>TuyÕn lo¹i 2; mËt ®é 3 c©y tiªu chuÈn trªn 100m2, s×nh lÇy</v>
          </cell>
          <cell r="D40" t="str">
            <v>m2</v>
          </cell>
          <cell r="F40">
            <v>895.01</v>
          </cell>
        </row>
        <row r="41">
          <cell r="B41" t="str">
            <v>01.1234</v>
          </cell>
          <cell r="C41" t="str">
            <v>TuyÕn lo¹i 2; mËt ®é 5 c©y tiªu chuÈn trªn 100m2, s×nh lÇy</v>
          </cell>
          <cell r="D41" t="str">
            <v>m2</v>
          </cell>
          <cell r="F41">
            <v>1102.46</v>
          </cell>
        </row>
        <row r="42">
          <cell r="B42" t="str">
            <v>01.1235</v>
          </cell>
          <cell r="C42" t="str">
            <v>TuyÕn lo¹i 2; mËt ®é &gt;5 c©y tiªu chuÈn trªn 100m2, s×nh lÇy</v>
          </cell>
          <cell r="D42" t="str">
            <v>m2</v>
          </cell>
          <cell r="F42">
            <v>1389.93</v>
          </cell>
        </row>
        <row r="43">
          <cell r="C43" t="str">
            <v>TuyÕn lo¹i 3 : TuyÕn ®i qua khai th¸c, c©y non, d©y leo chiÕm 2/3 diÖn tÝch vµ cø 100m2 cã 30-100 c©y cã D:5-10cm, xen lÉn c©y D&gt;10cm</v>
          </cell>
        </row>
        <row r="44">
          <cell r="B44" t="str">
            <v>01.1311</v>
          </cell>
          <cell r="C44" t="str">
            <v>TuyÕn lo¹i 3; mËt ®é 0 c©y tiªu chuÈn trªn 100m2, b»ng ph¼ng</v>
          </cell>
          <cell r="D44" t="str">
            <v>m2</v>
          </cell>
          <cell r="F44">
            <v>453.43</v>
          </cell>
        </row>
        <row r="45">
          <cell r="B45" t="str">
            <v>01.1312</v>
          </cell>
          <cell r="C45" t="str">
            <v>TuyÕn lo¹i 3; mËt ®é 2 c©y tiªu chuÈn trªn 100m2, b»ng ph¼ng</v>
          </cell>
          <cell r="D45" t="str">
            <v>m2</v>
          </cell>
          <cell r="F45">
            <v>646.05999999999995</v>
          </cell>
        </row>
        <row r="46">
          <cell r="B46" t="str">
            <v>01.1313</v>
          </cell>
          <cell r="C46" t="str">
            <v>TuyÕn lo¹i 3; mËt ®é 3 c©y tiªu chuÈn trªn 100m2, b»ng ph¼ng</v>
          </cell>
          <cell r="D46" t="str">
            <v>m2</v>
          </cell>
          <cell r="F46">
            <v>743.86</v>
          </cell>
        </row>
        <row r="47">
          <cell r="B47" t="str">
            <v>01.1314</v>
          </cell>
          <cell r="C47" t="str">
            <v>TuyÕn lo¹i 3; mËt ®é 5 c©y tiªu chuÈn trªn 100m2, b»ng ph¼ng</v>
          </cell>
          <cell r="D47" t="str">
            <v>m2</v>
          </cell>
          <cell r="F47">
            <v>903.9</v>
          </cell>
        </row>
        <row r="48">
          <cell r="B48" t="str">
            <v>01.1315</v>
          </cell>
          <cell r="C48" t="str">
            <v>TuyÕn lo¹i 3; mËt ®é &gt;5 c©y tiªu chuÈn trªn 100m2, b»ng ph¼ng</v>
          </cell>
          <cell r="D48" t="str">
            <v>m2</v>
          </cell>
          <cell r="F48">
            <v>1129.1300000000001</v>
          </cell>
        </row>
        <row r="49">
          <cell r="B49" t="str">
            <v>01.1321</v>
          </cell>
          <cell r="C49" t="str">
            <v>TuyÕn lo¹i 3; mËt ®é 0 c©y tiªu chuÈn trªn 100m2, dèc &gt;25o</v>
          </cell>
          <cell r="D49" t="str">
            <v>m2</v>
          </cell>
          <cell r="F49">
            <v>518.63</v>
          </cell>
        </row>
        <row r="50">
          <cell r="B50" t="str">
            <v>01.1322</v>
          </cell>
          <cell r="C50" t="str">
            <v>TuyÕn lo¹i 3; mËt ®é 2 c©y tiªu chuÈn trªn 100m2, dèc &gt;25o</v>
          </cell>
          <cell r="D50" t="str">
            <v>m2</v>
          </cell>
          <cell r="F50">
            <v>740.9</v>
          </cell>
        </row>
        <row r="51">
          <cell r="B51" t="str">
            <v>01.1323</v>
          </cell>
          <cell r="C51" t="str">
            <v>TuyÕn lo¹i 3; mËt ®é 3 c©y tiªu chuÈn trªn 100m2, dèc &gt;25o</v>
          </cell>
          <cell r="D51" t="str">
            <v>m2</v>
          </cell>
          <cell r="F51">
            <v>853.52</v>
          </cell>
        </row>
        <row r="52">
          <cell r="B52" t="str">
            <v>01.1324</v>
          </cell>
          <cell r="C52" t="str">
            <v>TuyÕn lo¹i 3; mËt ®é 5 c©y tiªu chuÈn trªn 100m2, dèc &gt;25o</v>
          </cell>
          <cell r="D52" t="str">
            <v>m2</v>
          </cell>
          <cell r="F52">
            <v>1037.26</v>
          </cell>
        </row>
        <row r="53">
          <cell r="B53" t="str">
            <v>01.1325</v>
          </cell>
          <cell r="C53" t="str">
            <v>TuyÕn lo¹i 3; mËt ®é &gt;5 c©y tiªu chuÈn trªn 100m2, dèc &gt;25o</v>
          </cell>
          <cell r="D53" t="str">
            <v>m2</v>
          </cell>
          <cell r="F53">
            <v>1324.73</v>
          </cell>
        </row>
        <row r="54">
          <cell r="B54" t="str">
            <v>01.1331</v>
          </cell>
          <cell r="C54" t="str">
            <v>TuyÕn lo¹i 3; mËt ®é 0 c©y tiªu chuÈn trªn 100m2, s×nh lÇy</v>
          </cell>
          <cell r="D54" t="str">
            <v>m2</v>
          </cell>
          <cell r="F54">
            <v>589.76</v>
          </cell>
        </row>
        <row r="55">
          <cell r="B55" t="str">
            <v>01.1332</v>
          </cell>
          <cell r="C55" t="str">
            <v>TuyÕn lo¹i 3; mËt ®é 2 c©y tiªu chuÈn trªn 100m2, s×nh lÇy</v>
          </cell>
          <cell r="D55" t="str">
            <v>m2</v>
          </cell>
          <cell r="F55">
            <v>838.7</v>
          </cell>
        </row>
        <row r="56">
          <cell r="B56" t="str">
            <v>01.1333</v>
          </cell>
          <cell r="C56" t="str">
            <v>TuyÕn lo¹i 3; mËt ®é 3 c©y tiªu chuÈn trªn 100m2, s×nh lÇy</v>
          </cell>
          <cell r="D56" t="str">
            <v>m2</v>
          </cell>
          <cell r="F56">
            <v>966.13</v>
          </cell>
        </row>
        <row r="57">
          <cell r="B57" t="str">
            <v>01.1334</v>
          </cell>
          <cell r="C57" t="str">
            <v>TuyÕn lo¹i 3; mËt ®é 5 c©y tiªu chuÈn trªn 100m2, s×nh lÇy</v>
          </cell>
          <cell r="D57" t="str">
            <v>m2</v>
          </cell>
          <cell r="F57">
            <v>1176.55</v>
          </cell>
        </row>
        <row r="58">
          <cell r="B58" t="str">
            <v>01.1335</v>
          </cell>
          <cell r="C58" t="str">
            <v>TuyÕn lo¹i 3; mËt ®é &gt;5 c©y tiªu chuÈn trªn 100m2, s×nh lÇy</v>
          </cell>
          <cell r="D58" t="str">
            <v>m2</v>
          </cell>
          <cell r="F58">
            <v>1466.98</v>
          </cell>
        </row>
        <row r="59">
          <cell r="B59">
            <v>2</v>
          </cell>
          <cell r="C59" t="str">
            <v>Bèc dì vËt liÖu</v>
          </cell>
        </row>
        <row r="60">
          <cell r="B60">
            <v>2.1</v>
          </cell>
          <cell r="C60" t="str">
            <v>Bèc vËn chuyÓn</v>
          </cell>
        </row>
        <row r="61">
          <cell r="A61" t="str">
            <v>XM</v>
          </cell>
          <cell r="B61" t="str">
            <v>02.1101</v>
          </cell>
          <cell r="C61" t="str">
            <v>Xi m¨ng</v>
          </cell>
          <cell r="D61" t="str">
            <v>TÊn</v>
          </cell>
          <cell r="F61">
            <v>5927</v>
          </cell>
        </row>
        <row r="62">
          <cell r="A62" t="str">
            <v>Cat</v>
          </cell>
          <cell r="B62" t="str">
            <v>02.1103</v>
          </cell>
          <cell r="C62" t="str">
            <v>C¸t vµng</v>
          </cell>
          <cell r="D62" t="str">
            <v>m3</v>
          </cell>
          <cell r="F62">
            <v>4445</v>
          </cell>
        </row>
        <row r="63">
          <cell r="A63" t="str">
            <v>Da</v>
          </cell>
          <cell r="B63" t="str">
            <v>02.1104</v>
          </cell>
          <cell r="C63" t="str">
            <v>§¸ d¨m c¸c lo¹i</v>
          </cell>
          <cell r="D63" t="str">
            <v>m3</v>
          </cell>
          <cell r="F63">
            <v>6224</v>
          </cell>
        </row>
        <row r="64">
          <cell r="B64" t="str">
            <v>02.3105</v>
          </cell>
          <cell r="C64" t="str">
            <v>§¸ héc</v>
          </cell>
          <cell r="D64" t="str">
            <v>m3</v>
          </cell>
          <cell r="F64">
            <v>8594</v>
          </cell>
        </row>
        <row r="65">
          <cell r="B65" t="str">
            <v>02.1106</v>
          </cell>
          <cell r="C65" t="str">
            <v>§Êt cÊp 1</v>
          </cell>
          <cell r="D65" t="str">
            <v>m3</v>
          </cell>
          <cell r="F65">
            <v>5334</v>
          </cell>
        </row>
        <row r="66">
          <cell r="B66" t="str">
            <v>02.3107</v>
          </cell>
          <cell r="C66" t="str">
            <v>§Êt cÊp 2</v>
          </cell>
          <cell r="D66" t="str">
            <v>m3</v>
          </cell>
          <cell r="F66">
            <v>5927</v>
          </cell>
        </row>
        <row r="67">
          <cell r="B67" t="str">
            <v>02.3108</v>
          </cell>
          <cell r="C67" t="str">
            <v>§Êt cÊp 3</v>
          </cell>
          <cell r="D67" t="str">
            <v>m3</v>
          </cell>
          <cell r="F67">
            <v>7705</v>
          </cell>
        </row>
        <row r="68">
          <cell r="B68" t="str">
            <v>02.3109</v>
          </cell>
          <cell r="C68" t="str">
            <v>§Êt cÊp 4</v>
          </cell>
          <cell r="D68" t="str">
            <v>m3</v>
          </cell>
          <cell r="F68">
            <v>9484</v>
          </cell>
        </row>
        <row r="69">
          <cell r="B69" t="str">
            <v>02.3110</v>
          </cell>
          <cell r="C69" t="str">
            <v>Bïn</v>
          </cell>
          <cell r="D69" t="str">
            <v>m3</v>
          </cell>
          <cell r="F69">
            <v>6224</v>
          </cell>
        </row>
        <row r="70">
          <cell r="B70" t="str">
            <v>02.3111</v>
          </cell>
          <cell r="C70" t="str">
            <v>N­íc</v>
          </cell>
          <cell r="D70" t="str">
            <v>m3</v>
          </cell>
          <cell r="F70">
            <v>8594</v>
          </cell>
        </row>
        <row r="71">
          <cell r="B71" t="str">
            <v>02.3112</v>
          </cell>
          <cell r="C71" t="str">
            <v>V¸n gç cèt pha</v>
          </cell>
          <cell r="D71" t="str">
            <v>m3</v>
          </cell>
          <cell r="F71">
            <v>5334</v>
          </cell>
        </row>
        <row r="72">
          <cell r="B72" t="str">
            <v>02.3113</v>
          </cell>
          <cell r="C72" t="str">
            <v>V¸n gç cèt pha thÐp</v>
          </cell>
          <cell r="D72" t="str">
            <v>m3</v>
          </cell>
          <cell r="F72">
            <v>9484</v>
          </cell>
        </row>
        <row r="73">
          <cell r="B73" t="str">
            <v>02.3114</v>
          </cell>
          <cell r="C73" t="str">
            <v>Bu l«ng, tiÕp ®Þa, d©y nÐo</v>
          </cell>
          <cell r="D73" t="str">
            <v>TÊn</v>
          </cell>
          <cell r="F73">
            <v>12151</v>
          </cell>
        </row>
        <row r="74">
          <cell r="B74" t="str">
            <v>02.3115</v>
          </cell>
          <cell r="C74" t="str">
            <v>Cét thÐp ch­a l¾p tõng ®o¹n</v>
          </cell>
          <cell r="D74" t="str">
            <v>TÊn</v>
          </cell>
          <cell r="F74">
            <v>11262</v>
          </cell>
        </row>
        <row r="75">
          <cell r="B75" t="str">
            <v>02.3116</v>
          </cell>
          <cell r="C75" t="str">
            <v>Cét thÐp ®· l¾p tõng ®o¹n</v>
          </cell>
          <cell r="D75" t="str">
            <v>TÊn</v>
          </cell>
          <cell r="F75">
            <v>13336</v>
          </cell>
        </row>
        <row r="76">
          <cell r="B76" t="str">
            <v>02.3117</v>
          </cell>
          <cell r="C76" t="str">
            <v>G¹ch chØ</v>
          </cell>
          <cell r="D76" t="str">
            <v>V</v>
          </cell>
          <cell r="F76">
            <v>13336</v>
          </cell>
        </row>
        <row r="77">
          <cell r="B77" t="str">
            <v>02.3118</v>
          </cell>
          <cell r="C77" t="str">
            <v>Tre c©y d&gt;=1,5m ®Õn 2,5 m</v>
          </cell>
          <cell r="D77" t="str">
            <v>C©y</v>
          </cell>
          <cell r="F77">
            <v>68.16</v>
          </cell>
        </row>
        <row r="78">
          <cell r="B78" t="str">
            <v>02.3119</v>
          </cell>
          <cell r="C78" t="str">
            <v>Tre c©y d8-10cm, dµi 6-8m</v>
          </cell>
          <cell r="D78" t="str">
            <v>C©y</v>
          </cell>
          <cell r="F78">
            <v>1837.4</v>
          </cell>
        </row>
        <row r="79">
          <cell r="B79" t="str">
            <v>02.3120</v>
          </cell>
          <cell r="C79" t="str">
            <v>Phô kiÖn c¸c lo¹i</v>
          </cell>
          <cell r="D79" t="str">
            <v>TÊn</v>
          </cell>
          <cell r="F79">
            <v>12447</v>
          </cell>
        </row>
        <row r="80">
          <cell r="B80" t="str">
            <v>02.3121</v>
          </cell>
          <cell r="C80" t="str">
            <v>C¸ch ®iÖn c¸c lo¹i</v>
          </cell>
          <cell r="D80" t="str">
            <v>TÊn</v>
          </cell>
          <cell r="F80">
            <v>24598</v>
          </cell>
        </row>
        <row r="81">
          <cell r="B81" t="str">
            <v>02.3122</v>
          </cell>
          <cell r="C81" t="str">
            <v>D©y dÉn ®iÖn, d©y c¸p c¸c lo¹i</v>
          </cell>
          <cell r="D81" t="str">
            <v>TÊn</v>
          </cell>
          <cell r="F81">
            <v>14225</v>
          </cell>
        </row>
        <row r="82">
          <cell r="B82" t="str">
            <v>02.3123</v>
          </cell>
          <cell r="C82" t="str">
            <v>CÊu kiÖn bª t«ng ®óc s½n</v>
          </cell>
          <cell r="D82" t="str">
            <v>TÊn</v>
          </cell>
          <cell r="F82">
            <v>12151</v>
          </cell>
        </row>
        <row r="83">
          <cell r="B83" t="str">
            <v>02.3124</v>
          </cell>
          <cell r="C83" t="str">
            <v>Cét bª t«ng</v>
          </cell>
          <cell r="D83" t="str">
            <v>TÊn</v>
          </cell>
          <cell r="F83">
            <v>14818</v>
          </cell>
        </row>
        <row r="84">
          <cell r="B84" t="str">
            <v>02.3125</v>
          </cell>
          <cell r="C84" t="str">
            <v>Bi tum</v>
          </cell>
          <cell r="D84" t="str">
            <v>TÊn</v>
          </cell>
          <cell r="F84">
            <v>16003</v>
          </cell>
        </row>
        <row r="85">
          <cell r="B85" t="str">
            <v>02.3126</v>
          </cell>
          <cell r="C85" t="str">
            <v>Dông cô thi c«ng</v>
          </cell>
          <cell r="D85" t="str">
            <v>TÊn</v>
          </cell>
          <cell r="F85">
            <v>9780</v>
          </cell>
        </row>
        <row r="86">
          <cell r="B86">
            <v>2.2000000000000002</v>
          </cell>
          <cell r="C86" t="str">
            <v>Bèc lªn</v>
          </cell>
        </row>
        <row r="87">
          <cell r="B87" t="str">
            <v>02.3101</v>
          </cell>
          <cell r="C87" t="str">
            <v>C¸t c¸c lo¹i</v>
          </cell>
          <cell r="D87" t="str">
            <v>m3</v>
          </cell>
          <cell r="F87">
            <v>9484</v>
          </cell>
        </row>
        <row r="88">
          <cell r="B88" t="str">
            <v>02.3102</v>
          </cell>
          <cell r="C88" t="str">
            <v>§¸ d¨m c¸c lo¹i</v>
          </cell>
          <cell r="D88" t="str">
            <v>m3</v>
          </cell>
          <cell r="F88">
            <v>12743</v>
          </cell>
        </row>
        <row r="89">
          <cell r="B89" t="str">
            <v>02.3103</v>
          </cell>
          <cell r="C89" t="str">
            <v>§¸ héc</v>
          </cell>
          <cell r="D89" t="str">
            <v>m3</v>
          </cell>
          <cell r="F89">
            <v>14225</v>
          </cell>
        </row>
        <row r="90">
          <cell r="B90" t="str">
            <v>02.3104</v>
          </cell>
          <cell r="C90" t="str">
            <v>Sái</v>
          </cell>
          <cell r="D90" t="str">
            <v>m3</v>
          </cell>
          <cell r="F90">
            <v>12743</v>
          </cell>
        </row>
        <row r="91">
          <cell r="B91" t="str">
            <v>02.3105</v>
          </cell>
          <cell r="C91" t="str">
            <v>§Êt ®¾p</v>
          </cell>
          <cell r="D91" t="str">
            <v>m3</v>
          </cell>
          <cell r="F91">
            <v>10669</v>
          </cell>
        </row>
        <row r="92">
          <cell r="B92" t="str">
            <v>02.3106</v>
          </cell>
          <cell r="C92" t="str">
            <v>G¹ch chØ</v>
          </cell>
          <cell r="D92" t="str">
            <v>1000v</v>
          </cell>
          <cell r="F92">
            <v>13633</v>
          </cell>
        </row>
        <row r="93">
          <cell r="B93" t="str">
            <v>02.3107</v>
          </cell>
          <cell r="C93" t="str">
            <v>Xi m¨ng bao</v>
          </cell>
          <cell r="D93" t="str">
            <v>m3</v>
          </cell>
          <cell r="F93">
            <v>13929</v>
          </cell>
        </row>
        <row r="94">
          <cell r="B94" t="str">
            <v>02.3108</v>
          </cell>
          <cell r="C94" t="str">
            <v>ThÐp thanh cét</v>
          </cell>
          <cell r="D94" t="str">
            <v>m3</v>
          </cell>
          <cell r="F94">
            <v>16300</v>
          </cell>
        </row>
        <row r="95">
          <cell r="B95" t="str">
            <v>02.3109</v>
          </cell>
          <cell r="C95" t="str">
            <v>Tre c©y d&gt;=8cm, L=6-8m</v>
          </cell>
          <cell r="D95" t="str">
            <v>TÊn</v>
          </cell>
          <cell r="F95">
            <v>34081</v>
          </cell>
        </row>
        <row r="96">
          <cell r="B96" t="str">
            <v>02.3110</v>
          </cell>
          <cell r="C96" t="str">
            <v>Cäc tre, cäc gç</v>
          </cell>
          <cell r="D96" t="str">
            <v>TÊn</v>
          </cell>
          <cell r="F96">
            <v>11262</v>
          </cell>
        </row>
        <row r="97">
          <cell r="B97" t="str">
            <v>02.3111</v>
          </cell>
          <cell r="C97" t="str">
            <v>CÊu  kiÖn thÐp c¸c lo¹i</v>
          </cell>
          <cell r="D97" t="str">
            <v>TÊn</v>
          </cell>
          <cell r="F97">
            <v>17485</v>
          </cell>
        </row>
        <row r="98">
          <cell r="B98" t="str">
            <v>02.3112</v>
          </cell>
          <cell r="C98" t="str">
            <v>Phô kiÖn</v>
          </cell>
          <cell r="D98" t="str">
            <v>TÊn</v>
          </cell>
          <cell r="F98">
            <v>26969</v>
          </cell>
        </row>
        <row r="99">
          <cell r="B99" t="str">
            <v>02.3113</v>
          </cell>
          <cell r="C99" t="str">
            <v>Dông cô thi c«ng</v>
          </cell>
          <cell r="D99" t="str">
            <v>TÊn</v>
          </cell>
          <cell r="F99">
            <v>13929</v>
          </cell>
        </row>
        <row r="100">
          <cell r="B100" t="str">
            <v>02.3114</v>
          </cell>
          <cell r="C100" t="str">
            <v>D©y ®iÖn c¸c lo¹i</v>
          </cell>
          <cell r="D100" t="str">
            <v>TÊn</v>
          </cell>
          <cell r="F100">
            <v>18671</v>
          </cell>
        </row>
        <row r="101">
          <cell r="B101" t="str">
            <v>02.3115</v>
          </cell>
          <cell r="C101" t="str">
            <v>Sø c¸c lo¹i</v>
          </cell>
          <cell r="D101" t="str">
            <v>TÊn</v>
          </cell>
          <cell r="F101">
            <v>22227</v>
          </cell>
        </row>
        <row r="102">
          <cell r="B102" t="str">
            <v>02.3116</v>
          </cell>
          <cell r="C102" t="str">
            <v>Gç c¸c lo¹i</v>
          </cell>
          <cell r="D102" t="str">
            <v>TÊn</v>
          </cell>
          <cell r="F102">
            <v>8298</v>
          </cell>
        </row>
        <row r="103">
          <cell r="B103">
            <v>2.2999999999999998</v>
          </cell>
          <cell r="C103" t="str">
            <v>Bèc xuèng</v>
          </cell>
        </row>
        <row r="104">
          <cell r="B104" t="str">
            <v>02.3201</v>
          </cell>
          <cell r="C104" t="str">
            <v>C¸t c¸c lo¹i</v>
          </cell>
          <cell r="D104" t="str">
            <v>m3</v>
          </cell>
          <cell r="F104">
            <v>6224</v>
          </cell>
        </row>
        <row r="105">
          <cell r="B105" t="str">
            <v>02.3202</v>
          </cell>
          <cell r="C105" t="str">
            <v>§¸ d¨m c¸c lo¹i</v>
          </cell>
          <cell r="D105" t="str">
            <v>m3</v>
          </cell>
          <cell r="F105">
            <v>10669</v>
          </cell>
        </row>
        <row r="106">
          <cell r="B106" t="str">
            <v>02.3203</v>
          </cell>
          <cell r="C106" t="str">
            <v>§¸ héc</v>
          </cell>
          <cell r="D106" t="str">
            <v>m3</v>
          </cell>
          <cell r="F106">
            <v>13633</v>
          </cell>
        </row>
        <row r="107">
          <cell r="B107" t="str">
            <v>02.3204</v>
          </cell>
          <cell r="C107" t="str">
            <v>Sái</v>
          </cell>
          <cell r="D107" t="str">
            <v>m3</v>
          </cell>
          <cell r="F107">
            <v>10669</v>
          </cell>
        </row>
        <row r="108">
          <cell r="B108" t="str">
            <v>02.3205</v>
          </cell>
          <cell r="C108" t="str">
            <v>§Êt ®¾p</v>
          </cell>
          <cell r="D108" t="str">
            <v>m3</v>
          </cell>
          <cell r="F108">
            <v>8891</v>
          </cell>
        </row>
        <row r="109">
          <cell r="B109" t="str">
            <v>02.3206</v>
          </cell>
          <cell r="C109" t="str">
            <v>G¹ch chØ</v>
          </cell>
          <cell r="D109" t="str">
            <v>1000v</v>
          </cell>
          <cell r="F109">
            <v>12743</v>
          </cell>
        </row>
        <row r="110">
          <cell r="B110" t="str">
            <v>02.3207</v>
          </cell>
          <cell r="C110" t="str">
            <v>Xi m¨ng bao</v>
          </cell>
          <cell r="D110" t="str">
            <v>m3</v>
          </cell>
          <cell r="F110">
            <v>6224</v>
          </cell>
        </row>
        <row r="111">
          <cell r="B111" t="str">
            <v>02.3208</v>
          </cell>
          <cell r="C111" t="str">
            <v>ThÐp thanh cét</v>
          </cell>
          <cell r="D111" t="str">
            <v>m3</v>
          </cell>
          <cell r="F111">
            <v>14996</v>
          </cell>
        </row>
        <row r="112">
          <cell r="B112" t="str">
            <v>02.3209</v>
          </cell>
          <cell r="C112" t="str">
            <v>Tre c©y d&gt;=8cm, L=6-8m</v>
          </cell>
          <cell r="D112" t="str">
            <v>TÊn</v>
          </cell>
          <cell r="F112">
            <v>17189</v>
          </cell>
        </row>
        <row r="113">
          <cell r="B113" t="str">
            <v>02.3210</v>
          </cell>
          <cell r="C113" t="str">
            <v>Cäc tre, cäc gç</v>
          </cell>
          <cell r="D113" t="str">
            <v>TÊn</v>
          </cell>
          <cell r="F113">
            <v>6224</v>
          </cell>
        </row>
        <row r="114">
          <cell r="B114" t="str">
            <v>02.3211</v>
          </cell>
          <cell r="C114" t="str">
            <v>CÊu  kiÖn thÐp c¸c lo¹i</v>
          </cell>
          <cell r="D114" t="str">
            <v>TÊn</v>
          </cell>
          <cell r="F114">
            <v>13633</v>
          </cell>
        </row>
        <row r="115">
          <cell r="B115" t="str">
            <v>02.3212</v>
          </cell>
          <cell r="C115" t="str">
            <v>Phô kiÖn</v>
          </cell>
          <cell r="D115" t="str">
            <v>TÊn</v>
          </cell>
          <cell r="F115">
            <v>13929</v>
          </cell>
        </row>
        <row r="116">
          <cell r="B116" t="str">
            <v>02.3213</v>
          </cell>
          <cell r="C116" t="str">
            <v>Dông cô thi c«ng</v>
          </cell>
          <cell r="D116" t="str">
            <v>TÊn</v>
          </cell>
          <cell r="F116">
            <v>10373</v>
          </cell>
        </row>
        <row r="117">
          <cell r="B117" t="str">
            <v>02.3214</v>
          </cell>
          <cell r="C117" t="str">
            <v>D©y ®iÖn c¸c lo¹i</v>
          </cell>
          <cell r="D117" t="str">
            <v>TÊn</v>
          </cell>
          <cell r="F117">
            <v>17485</v>
          </cell>
        </row>
        <row r="118">
          <cell r="B118" t="str">
            <v>02.3215</v>
          </cell>
          <cell r="C118" t="str">
            <v>Sø c¸c lo¹i</v>
          </cell>
          <cell r="D118" t="str">
            <v>TÊn</v>
          </cell>
          <cell r="F118">
            <v>23116</v>
          </cell>
        </row>
        <row r="119">
          <cell r="B119" t="str">
            <v>02.3216</v>
          </cell>
          <cell r="C119" t="str">
            <v>Gç c¸c lo¹i</v>
          </cell>
          <cell r="D119" t="str">
            <v>TÊn</v>
          </cell>
          <cell r="F119">
            <v>7409</v>
          </cell>
        </row>
        <row r="120">
          <cell r="B120">
            <v>1</v>
          </cell>
          <cell r="C120" t="str">
            <v>C«ng t¸c ®æ bª t«ng</v>
          </cell>
        </row>
        <row r="121">
          <cell r="B121">
            <v>1.1000000000000001</v>
          </cell>
          <cell r="C121" t="str">
            <v>C«ng t¸c ®æ bª t«ng lãt mãng cét</v>
          </cell>
        </row>
        <row r="122">
          <cell r="B122" t="str">
            <v>04.3110</v>
          </cell>
          <cell r="C122" t="str">
            <v>Lãt mãng ®¸ d¨m 4x6</v>
          </cell>
          <cell r="F122">
            <v>16500</v>
          </cell>
        </row>
        <row r="123">
          <cell r="B123" t="str">
            <v>04.3111</v>
          </cell>
          <cell r="C123" t="str">
            <v>Bª t«ng lãt mãng M50 ®¸ 4x6</v>
          </cell>
          <cell r="D123" t="str">
            <v>m3</v>
          </cell>
          <cell r="E123">
            <v>247482</v>
          </cell>
          <cell r="F123">
            <v>80017</v>
          </cell>
        </row>
        <row r="124">
          <cell r="B124" t="str">
            <v>04.3112</v>
          </cell>
          <cell r="C124" t="str">
            <v>Bª t«ng lãt mãng M100 ®¸ 4x6</v>
          </cell>
          <cell r="D124" t="str">
            <v>m3</v>
          </cell>
          <cell r="E124">
            <v>274459</v>
          </cell>
          <cell r="F124">
            <v>80017</v>
          </cell>
        </row>
        <row r="125">
          <cell r="B125" t="str">
            <v>04.3113</v>
          </cell>
          <cell r="C125" t="str">
            <v>Bª t«ng lãt mãng M150 ®¸ 4x6</v>
          </cell>
          <cell r="D125" t="str">
            <v>m3</v>
          </cell>
          <cell r="E125">
            <v>318061</v>
          </cell>
          <cell r="F125">
            <v>80017</v>
          </cell>
        </row>
        <row r="126">
          <cell r="C126" t="str">
            <v>C«ng t¸c ®æ bª t«ng mãng cét</v>
          </cell>
        </row>
        <row r="127">
          <cell r="B127" t="str">
            <v>04.3321</v>
          </cell>
          <cell r="C127" t="str">
            <v>Bª t«ng mãng M100 ®¸ 2x4</v>
          </cell>
          <cell r="D127" t="str">
            <v>m3</v>
          </cell>
          <cell r="E127">
            <v>311252</v>
          </cell>
          <cell r="F127">
            <v>90686</v>
          </cell>
        </row>
        <row r="128">
          <cell r="B128" t="str">
            <v>04.3322</v>
          </cell>
          <cell r="C128" t="str">
            <v>Bª t«ng mãng M150 ®¸ 2x4</v>
          </cell>
          <cell r="D128" t="str">
            <v>m3</v>
          </cell>
          <cell r="E128">
            <v>359891</v>
          </cell>
          <cell r="F128">
            <v>90686</v>
          </cell>
        </row>
        <row r="129">
          <cell r="B129" t="str">
            <v>04.3323</v>
          </cell>
          <cell r="C129" t="str">
            <v>Bª t«ng mãng M200 ®¸ 2x4</v>
          </cell>
          <cell r="D129" t="str">
            <v>m3</v>
          </cell>
          <cell r="E129">
            <v>406850</v>
          </cell>
          <cell r="F129">
            <v>90686</v>
          </cell>
        </row>
        <row r="130">
          <cell r="B130" t="str">
            <v>04.3324</v>
          </cell>
          <cell r="C130" t="str">
            <v>Bª t«ng mãng M250 ®¸ 2x4</v>
          </cell>
          <cell r="D130" t="str">
            <v>m3</v>
          </cell>
          <cell r="E130">
            <v>453636</v>
          </cell>
          <cell r="F130">
            <v>90686</v>
          </cell>
        </row>
        <row r="131">
          <cell r="C131" t="str">
            <v>C«ng t¸c ®æ bª t«ng mãng b¶n, thanh ngang, chÌn</v>
          </cell>
        </row>
        <row r="132">
          <cell r="B132" t="str">
            <v>04.3611</v>
          </cell>
          <cell r="C132" t="str">
            <v>Bª t«ng M200 ®¸ 1x2</v>
          </cell>
          <cell r="D132" t="str">
            <v>m3</v>
          </cell>
          <cell r="E132">
            <v>424899</v>
          </cell>
          <cell r="F132">
            <v>101355</v>
          </cell>
        </row>
        <row r="133">
          <cell r="B133" t="str">
            <v>2</v>
          </cell>
          <cell r="C133" t="str">
            <v>C«ng t¸c ®µo ®¾p ®Êt mãng trô</v>
          </cell>
        </row>
        <row r="134">
          <cell r="C134" t="str">
            <v>§µo ®Êt mãng trô S&lt;=5m2; h&lt;1m</v>
          </cell>
        </row>
        <row r="135">
          <cell r="B135" t="str">
            <v>03.1101</v>
          </cell>
          <cell r="C135" t="str">
            <v>§µo ®Êt mãng trô S&lt;=5m2; h&lt;1m, ®Êt cÊp 1</v>
          </cell>
          <cell r="D135" t="str">
            <v>m3</v>
          </cell>
          <cell r="F135">
            <v>16300</v>
          </cell>
        </row>
        <row r="136">
          <cell r="B136" t="str">
            <v>03.1102</v>
          </cell>
          <cell r="C136" t="str">
            <v>§µo ®Êt mãng trô S&lt;=5m2; h&lt;1m, ®Êt cÊp 2</v>
          </cell>
          <cell r="D136" t="str">
            <v>m3</v>
          </cell>
          <cell r="F136">
            <v>25191</v>
          </cell>
        </row>
        <row r="137">
          <cell r="B137" t="str">
            <v>03.1103</v>
          </cell>
          <cell r="C137" t="str">
            <v>§µo ®Êt mãng trô S&lt;=5m2; h&lt;1m, ®Êt cÊp 3</v>
          </cell>
          <cell r="D137" t="str">
            <v>m3</v>
          </cell>
          <cell r="F137">
            <v>40898</v>
          </cell>
        </row>
        <row r="138">
          <cell r="B138" t="str">
            <v>03.1104</v>
          </cell>
          <cell r="C138" t="str">
            <v>§µo ®Êt mãng trô S&lt;=5m2; h&lt;1m, ®Êt cÊp 4</v>
          </cell>
          <cell r="D138" t="str">
            <v>m3</v>
          </cell>
          <cell r="F138">
            <v>65199</v>
          </cell>
        </row>
        <row r="139">
          <cell r="C139" t="str">
            <v>§µo ®Êt mãng trô S&lt;=5m2; h&gt;1m</v>
          </cell>
        </row>
        <row r="140">
          <cell r="B140" t="str">
            <v>03.1111</v>
          </cell>
          <cell r="C140" t="str">
            <v>§µo ®Êt mãng trô S&lt;=5m2; h&gt;1m, ®Êt cÊp 1</v>
          </cell>
          <cell r="D140" t="str">
            <v>m3</v>
          </cell>
          <cell r="F140">
            <v>23116</v>
          </cell>
        </row>
        <row r="141">
          <cell r="B141" t="str">
            <v>03.1112</v>
          </cell>
          <cell r="C141" t="str">
            <v>§µo ®Êt mãng trô S&lt;=5m2; h&gt;1m, ®Êt cÊp 2</v>
          </cell>
          <cell r="D141" t="str">
            <v>m3</v>
          </cell>
          <cell r="F141">
            <v>33785</v>
          </cell>
        </row>
        <row r="142">
          <cell r="B142" t="str">
            <v>03.1113</v>
          </cell>
          <cell r="C142" t="str">
            <v>§µo ®Êt mãng trô S&lt;=5m2; h&gt;1m, ®Êt cÊp 3</v>
          </cell>
          <cell r="D142" t="str">
            <v>m3</v>
          </cell>
          <cell r="F142">
            <v>49196</v>
          </cell>
        </row>
        <row r="143">
          <cell r="B143" t="str">
            <v>03.1114</v>
          </cell>
          <cell r="C143" t="str">
            <v>§µo ®Êt mãng trô S&lt;=5m2; h&gt;1m, ®Êt cÊp 4</v>
          </cell>
          <cell r="D143" t="str">
            <v>m3</v>
          </cell>
          <cell r="F143">
            <v>76165</v>
          </cell>
        </row>
        <row r="144">
          <cell r="C144" t="str">
            <v>§µo ®Êt mãng trô S&lt;=15m2; h&lt;=2 m</v>
          </cell>
        </row>
        <row r="145">
          <cell r="B145" t="str">
            <v>03.1121</v>
          </cell>
          <cell r="C145" t="str">
            <v>§µo ®Êt mãng trô S&lt;=15m2; h&lt;= 2m, ®Êt cÊp 1</v>
          </cell>
          <cell r="D145" t="str">
            <v>m3</v>
          </cell>
          <cell r="F145">
            <v>16300</v>
          </cell>
        </row>
        <row r="146">
          <cell r="B146" t="str">
            <v>03.1122</v>
          </cell>
          <cell r="C146" t="str">
            <v>§µo ®Êt mãng trô S&lt;=15m2; h&lt;= 2m, ®Êt cÊp 2</v>
          </cell>
          <cell r="D146" t="str">
            <v>m3</v>
          </cell>
          <cell r="F146">
            <v>22227</v>
          </cell>
        </row>
        <row r="147">
          <cell r="B147" t="str">
            <v>03.1123</v>
          </cell>
          <cell r="C147" t="str">
            <v>§µo ®Êt mãng trô S&lt;=15m2; h&lt;= 2m, ®Êt cÊp 3</v>
          </cell>
          <cell r="D147" t="str">
            <v>m3</v>
          </cell>
          <cell r="F147">
            <v>33192</v>
          </cell>
        </row>
        <row r="148">
          <cell r="B148" t="str">
            <v>03.1124</v>
          </cell>
          <cell r="C148" t="str">
            <v>§µo ®Êt mãng trô S&lt;=15m2; h&lt;= 2m, ®Êt cÊp 4</v>
          </cell>
          <cell r="D148" t="str">
            <v>m3</v>
          </cell>
          <cell r="F148">
            <v>49492</v>
          </cell>
        </row>
        <row r="149">
          <cell r="C149" t="str">
            <v>§µo ®Êt mãng trô S&lt;=15m2; h&lt;=3 m</v>
          </cell>
        </row>
        <row r="150">
          <cell r="B150" t="str">
            <v>03.1131</v>
          </cell>
          <cell r="C150" t="str">
            <v>§µo ®Êt mãng trô S&lt;=15m2; h &lt;= 3 m, ®Êt cÊp 1</v>
          </cell>
          <cell r="D150" t="str">
            <v>m3</v>
          </cell>
          <cell r="F150">
            <v>17845</v>
          </cell>
        </row>
        <row r="151">
          <cell r="B151" t="str">
            <v>03.1132</v>
          </cell>
          <cell r="C151" t="str">
            <v>§µo ®Êt mãng trô S&lt;=15m2; h &lt;= 3 m, ®Êt cÊp 2</v>
          </cell>
          <cell r="D151" t="str">
            <v>m3</v>
          </cell>
          <cell r="F151">
            <v>23709</v>
          </cell>
        </row>
        <row r="152">
          <cell r="B152" t="str">
            <v>03.1133</v>
          </cell>
          <cell r="C152" t="str">
            <v>§µo ®Êt mãng trô S&lt;=15m2; h &lt;= 3 m, ®Êt cÊp 3</v>
          </cell>
          <cell r="D152" t="str">
            <v>m3</v>
          </cell>
          <cell r="F152">
            <v>35563</v>
          </cell>
        </row>
        <row r="153">
          <cell r="B153" t="str">
            <v>03.1134</v>
          </cell>
          <cell r="C153" t="str">
            <v>§µo ®Êt mãng trô S&lt;=15m2; h &lt;= 3 m, ®Êt cÊp 4</v>
          </cell>
          <cell r="D153" t="str">
            <v>m3</v>
          </cell>
          <cell r="F153">
            <v>52159</v>
          </cell>
        </row>
        <row r="154">
          <cell r="C154" t="str">
            <v>§µo ®Êt mãng trô S&lt;=15m2; h&gt;3 m</v>
          </cell>
        </row>
        <row r="155">
          <cell r="B155" t="str">
            <v>03.1141</v>
          </cell>
          <cell r="C155" t="str">
            <v>§µo ®Êt mãng trô S&lt;=15m2; h &gt; 3 m, ®Êt cÊp 1</v>
          </cell>
          <cell r="D155" t="str">
            <v>m3</v>
          </cell>
          <cell r="F155">
            <v>19560</v>
          </cell>
        </row>
        <row r="156">
          <cell r="B156" t="str">
            <v>03.1142</v>
          </cell>
          <cell r="C156" t="str">
            <v>§µo ®Êt mãng trô S&lt;=15m2; h &gt; 3 m, ®Êt cÊp 2</v>
          </cell>
          <cell r="D156" t="str">
            <v>m3</v>
          </cell>
          <cell r="F156">
            <v>26080</v>
          </cell>
        </row>
        <row r="157">
          <cell r="B157" t="str">
            <v>03.1143</v>
          </cell>
          <cell r="C157" t="str">
            <v>§µo ®Êt mãng trô S&lt;=15m2; h &gt; 3 m, ®Êt cÊp 3</v>
          </cell>
          <cell r="D157" t="str">
            <v>m3</v>
          </cell>
          <cell r="F157">
            <v>37934</v>
          </cell>
        </row>
        <row r="158">
          <cell r="B158" t="str">
            <v>03.1144</v>
          </cell>
          <cell r="C158" t="str">
            <v>§µo ®Êt mãng trô S&lt;=15m2; h &gt; 3 m, ®Êt cÊp 4</v>
          </cell>
          <cell r="D158" t="str">
            <v>m3</v>
          </cell>
          <cell r="F158">
            <v>55419</v>
          </cell>
        </row>
        <row r="159">
          <cell r="C159" t="str">
            <v>LÊp ®Êt mãng trô</v>
          </cell>
        </row>
        <row r="160">
          <cell r="B160" t="str">
            <v>03.2101</v>
          </cell>
          <cell r="C160" t="str">
            <v>LÊp ®Êt mãng trô, ®Êt cÊp 1</v>
          </cell>
          <cell r="D160" t="str">
            <v>m3</v>
          </cell>
          <cell r="F160">
            <v>16596</v>
          </cell>
        </row>
        <row r="161">
          <cell r="B161" t="str">
            <v>03.2102</v>
          </cell>
          <cell r="C161" t="str">
            <v>LÊp ®Êt mãng trô, ®Êt cÊp 2</v>
          </cell>
          <cell r="D161" t="str">
            <v>m3</v>
          </cell>
          <cell r="F161">
            <v>21931</v>
          </cell>
        </row>
        <row r="162">
          <cell r="B162" t="str">
            <v>03.2103</v>
          </cell>
          <cell r="C162" t="str">
            <v>LÊp ®Êt mãng trô, ®Êt cÊp 3</v>
          </cell>
          <cell r="D162" t="str">
            <v>m3</v>
          </cell>
          <cell r="F162">
            <v>27561</v>
          </cell>
        </row>
        <row r="163">
          <cell r="B163" t="str">
            <v>03.2104</v>
          </cell>
          <cell r="C163" t="str">
            <v>LÊp ®Êt mãng trô, ®Êt cÊp 4</v>
          </cell>
          <cell r="D163" t="str">
            <v>m3</v>
          </cell>
          <cell r="F163">
            <v>34081</v>
          </cell>
        </row>
        <row r="164">
          <cell r="C164" t="str">
            <v>§¾p ®¾p mãng trô</v>
          </cell>
        </row>
        <row r="165">
          <cell r="B165" t="str">
            <v>03.2201</v>
          </cell>
          <cell r="C165" t="str">
            <v>§¾p ®Êt mãng trô, ®Êt cÊp 1</v>
          </cell>
          <cell r="D165" t="str">
            <v>m3</v>
          </cell>
          <cell r="F165">
            <v>15114</v>
          </cell>
        </row>
        <row r="166">
          <cell r="B166" t="str">
            <v>03.2202</v>
          </cell>
          <cell r="C166" t="str">
            <v>§¾p ®Êt mãng trô, ®Êt cÊp 2</v>
          </cell>
          <cell r="D166" t="str">
            <v>m3</v>
          </cell>
          <cell r="F166">
            <v>19560</v>
          </cell>
        </row>
        <row r="167">
          <cell r="B167" t="str">
            <v>03.2203</v>
          </cell>
          <cell r="C167" t="str">
            <v>§¾p ®Êt mãng trô, ®Êt cÊp 3</v>
          </cell>
          <cell r="D167" t="str">
            <v>m3</v>
          </cell>
          <cell r="F167">
            <v>21931</v>
          </cell>
        </row>
        <row r="168">
          <cell r="B168" t="str">
            <v>03.2204</v>
          </cell>
          <cell r="C168" t="str">
            <v>§¾p ®Êt mãng trô, ®Êt cÊp 4</v>
          </cell>
          <cell r="D168" t="str">
            <v>m3</v>
          </cell>
          <cell r="F168">
            <v>21931</v>
          </cell>
        </row>
        <row r="169">
          <cell r="B169" t="str">
            <v>3</v>
          </cell>
          <cell r="C169" t="str">
            <v>C«ng t¸c ®µo ®¾p ®Êt r·nh tiÕp ®Þa</v>
          </cell>
        </row>
        <row r="170">
          <cell r="C170" t="str">
            <v>§µo ®Êt r·nh tiÕp ®Þa</v>
          </cell>
        </row>
        <row r="171">
          <cell r="B171" t="str">
            <v>03.3101</v>
          </cell>
          <cell r="C171" t="str">
            <v>§µo ®Êt r·nh tiÕp ®Þa ®Êt cÊp 1</v>
          </cell>
          <cell r="D171" t="str">
            <v>m3</v>
          </cell>
          <cell r="F171">
            <v>19856</v>
          </cell>
        </row>
        <row r="172">
          <cell r="B172" t="str">
            <v>03.3102</v>
          </cell>
          <cell r="C172" t="str">
            <v>§µo ®Êt r·nh tiÕp ®Þa ®Êt cÊp 2</v>
          </cell>
          <cell r="D172" t="str">
            <v>m3</v>
          </cell>
          <cell r="F172">
            <v>29636</v>
          </cell>
        </row>
        <row r="173">
          <cell r="B173" t="str">
            <v>03.3103</v>
          </cell>
          <cell r="C173" t="str">
            <v>§µo ®Êt r·nh tiÕp ®Þa ®Êt cÊp 3</v>
          </cell>
          <cell r="D173" t="str">
            <v>m3</v>
          </cell>
          <cell r="F173">
            <v>44158</v>
          </cell>
        </row>
        <row r="174">
          <cell r="B174" t="str">
            <v>03.3104</v>
          </cell>
          <cell r="C174" t="str">
            <v>§µo ®Êt r·nh tiÕp ®Þa ®Êt cÊp 4</v>
          </cell>
          <cell r="D174" t="str">
            <v>m3</v>
          </cell>
          <cell r="F174">
            <v>67274</v>
          </cell>
        </row>
        <row r="175">
          <cell r="C175" t="str">
            <v>§¾p ®Êt r·nh tiÕp ®Þa</v>
          </cell>
        </row>
        <row r="176">
          <cell r="B176" t="str">
            <v>03.3201</v>
          </cell>
          <cell r="C176" t="str">
            <v>LÊp ®Êt r·nh tiÕp ®Þa ®Êt cÊp 1</v>
          </cell>
          <cell r="D176" t="str">
            <v>m3</v>
          </cell>
          <cell r="F176">
            <v>15114</v>
          </cell>
        </row>
        <row r="177">
          <cell r="B177" t="str">
            <v>03.3202</v>
          </cell>
          <cell r="C177" t="str">
            <v>LÊp ®Êt r·nh tiÕp ®Þa ®Êt cÊp 2</v>
          </cell>
          <cell r="D177" t="str">
            <v>m3</v>
          </cell>
          <cell r="F177">
            <v>17485</v>
          </cell>
        </row>
        <row r="178">
          <cell r="B178" t="str">
            <v>03.3203</v>
          </cell>
          <cell r="C178" t="str">
            <v>LÊp ®Êt r·nh tiÕp ®Þa ®Êt cÊp 3</v>
          </cell>
          <cell r="D178" t="str">
            <v>m3</v>
          </cell>
          <cell r="F178">
            <v>20152</v>
          </cell>
        </row>
        <row r="179">
          <cell r="B179" t="str">
            <v>03.3204</v>
          </cell>
          <cell r="C179" t="str">
            <v>LÊp ®Êt r·nh tiÕp ®Þa ®Êt cÊp 4</v>
          </cell>
          <cell r="D179" t="str">
            <v>m3</v>
          </cell>
          <cell r="F179">
            <v>20152</v>
          </cell>
        </row>
        <row r="180">
          <cell r="B180" t="str">
            <v>4</v>
          </cell>
          <cell r="C180" t="str">
            <v>C«ng t¸c gia c«ng cèt thÐp mãng</v>
          </cell>
        </row>
        <row r="181">
          <cell r="C181" t="str">
            <v>C«ng t¸c gia c«ng cèt thÐp mãng trô</v>
          </cell>
        </row>
        <row r="182">
          <cell r="B182" t="str">
            <v>04.1101</v>
          </cell>
          <cell r="C182" t="str">
            <v>Gia c«ng cèt thÐp fi &lt;=10</v>
          </cell>
          <cell r="D182" t="str">
            <v>Kg</v>
          </cell>
          <cell r="E182">
            <v>5730.6710000000003</v>
          </cell>
          <cell r="F182">
            <v>405.99</v>
          </cell>
          <cell r="G182">
            <v>22.553999999999998</v>
          </cell>
        </row>
        <row r="183">
          <cell r="B183" t="str">
            <v>04.1102</v>
          </cell>
          <cell r="C183" t="str">
            <v>Gia c«ng cèt thÐp fi &lt;=18</v>
          </cell>
          <cell r="D183" t="str">
            <v>Kg</v>
          </cell>
          <cell r="E183">
            <v>5797.6679999999997</v>
          </cell>
          <cell r="F183">
            <v>299.03500000000003</v>
          </cell>
          <cell r="G183">
            <v>231.57400000000001</v>
          </cell>
        </row>
        <row r="184">
          <cell r="B184" t="str">
            <v>04.1103</v>
          </cell>
          <cell r="C184" t="str">
            <v>Gia c«ng cèt thÐp fi =&gt;18</v>
          </cell>
          <cell r="D184" t="str">
            <v>Kg</v>
          </cell>
          <cell r="E184">
            <v>5803.5479999999998</v>
          </cell>
          <cell r="F184">
            <v>227.62899999999999</v>
          </cell>
          <cell r="G184">
            <v>251.15100000000001</v>
          </cell>
        </row>
        <row r="185">
          <cell r="C185" t="str">
            <v>C«ng t¸c gia c«ng cèt thÐp mãng thanh ngang, mãng nÐo</v>
          </cell>
        </row>
        <row r="186">
          <cell r="B186" t="str">
            <v>04.1201</v>
          </cell>
          <cell r="C186" t="str">
            <v>Gia c«ng cèt thÐp fi &lt;=10</v>
          </cell>
          <cell r="D186" t="str">
            <v>Kg</v>
          </cell>
          <cell r="E186">
            <v>5730.6710000000003</v>
          </cell>
          <cell r="F186">
            <v>488.93400000000003</v>
          </cell>
          <cell r="G186">
            <v>22.553999999999998</v>
          </cell>
        </row>
        <row r="187">
          <cell r="B187" t="str">
            <v>04.1202</v>
          </cell>
          <cell r="C187" t="str">
            <v>Gia c«ng cèt thÐp fi &lt;=18</v>
          </cell>
          <cell r="D187" t="str">
            <v>Kg</v>
          </cell>
          <cell r="E187">
            <v>5799.348</v>
          </cell>
          <cell r="F187">
            <v>268.16500000000002</v>
          </cell>
          <cell r="G187">
            <v>234.053</v>
          </cell>
        </row>
        <row r="188">
          <cell r="B188" t="str">
            <v>04.1203</v>
          </cell>
          <cell r="C188" t="str">
            <v>Gia c«ng cèt thÐp fi =&gt;18</v>
          </cell>
          <cell r="D188" t="str">
            <v>Kg</v>
          </cell>
          <cell r="E188">
            <v>5799.348</v>
          </cell>
          <cell r="F188">
            <v>256.94</v>
          </cell>
          <cell r="G188">
            <v>217.405</v>
          </cell>
        </row>
        <row r="189">
          <cell r="B189" t="str">
            <v>5</v>
          </cell>
          <cell r="C189" t="str">
            <v>C«ng t¸c v¸n khu«n</v>
          </cell>
        </row>
        <row r="190">
          <cell r="B190" t="str">
            <v>04.2001</v>
          </cell>
          <cell r="C190" t="str">
            <v>V¸n khu«n mãng trô</v>
          </cell>
          <cell r="D190" t="str">
            <v>m2</v>
          </cell>
          <cell r="E190">
            <v>23136</v>
          </cell>
          <cell r="F190">
            <v>10692</v>
          </cell>
        </row>
        <row r="191">
          <cell r="B191" t="str">
            <v>04.2003</v>
          </cell>
          <cell r="C191" t="str">
            <v>V¸n khu«n cÊu kiÖn</v>
          </cell>
          <cell r="D191" t="str">
            <v>m2</v>
          </cell>
          <cell r="E191">
            <v>25865</v>
          </cell>
          <cell r="F191">
            <v>10250</v>
          </cell>
        </row>
        <row r="192">
          <cell r="B192" t="str">
            <v>6</v>
          </cell>
          <cell r="C192" t="str">
            <v>C«ng t¸c l¾p ®Æt cÊu kiÖn bª t«ng ®óc s½n</v>
          </cell>
        </row>
        <row r="193">
          <cell r="B193" t="str">
            <v>04.3801</v>
          </cell>
          <cell r="C193" t="str">
            <v>L¾p ®Æt mãng nÐo,thanh ng¸ng &lt;= 0,25 TÊn</v>
          </cell>
          <cell r="D193" t="str">
            <v>C¸i</v>
          </cell>
          <cell r="F193">
            <v>22255</v>
          </cell>
        </row>
        <row r="194">
          <cell r="B194" t="str">
            <v>04.3802</v>
          </cell>
          <cell r="C194" t="str">
            <v>L¾p ®Æt mãng nÐo,thanh ng¸ng &lt;= 0,5 TÊn</v>
          </cell>
          <cell r="D194" t="str">
            <v>C¸i</v>
          </cell>
          <cell r="F194">
            <v>48765</v>
          </cell>
        </row>
        <row r="195">
          <cell r="B195" t="str">
            <v>04.3803</v>
          </cell>
          <cell r="C195" t="str">
            <v>L¾p ®Æt mãng nÐo,thanh ng¸ng &gt; 0,5 TÊn</v>
          </cell>
          <cell r="D195" t="str">
            <v>C¸i</v>
          </cell>
          <cell r="F195">
            <v>85093</v>
          </cell>
        </row>
        <row r="196">
          <cell r="B196" t="str">
            <v>7</v>
          </cell>
          <cell r="C196" t="str">
            <v>C«ng t¸c dùng cét</v>
          </cell>
        </row>
        <row r="197">
          <cell r="B197" t="str">
            <v>+</v>
          </cell>
          <cell r="C197" t="str">
            <v>C«ng t¸c dùng cét thÐp b»ng thñ c«ng</v>
          </cell>
        </row>
        <row r="198">
          <cell r="B198" t="str">
            <v>05.4101</v>
          </cell>
          <cell r="C198" t="str">
            <v>L¾p dùng cét thÐp, cao &lt;=15 m</v>
          </cell>
          <cell r="D198" t="str">
            <v>TÊn</v>
          </cell>
          <cell r="E198">
            <v>5071</v>
          </cell>
          <cell r="F198">
            <v>369499</v>
          </cell>
        </row>
        <row r="199">
          <cell r="B199" t="str">
            <v>05.4102</v>
          </cell>
          <cell r="C199" t="str">
            <v>L¾p dùng cét thÐp, cao &lt;=25 m</v>
          </cell>
          <cell r="D199" t="str">
            <v>TÊn</v>
          </cell>
          <cell r="E199">
            <v>11130</v>
          </cell>
          <cell r="F199">
            <v>406482</v>
          </cell>
        </row>
        <row r="200">
          <cell r="B200" t="str">
            <v>05.4103</v>
          </cell>
          <cell r="C200" t="str">
            <v>L¾p dùng cét thÐp, cao &lt;=40 m</v>
          </cell>
          <cell r="D200" t="str">
            <v>TÊn</v>
          </cell>
          <cell r="E200">
            <v>11811</v>
          </cell>
          <cell r="F200">
            <v>467356</v>
          </cell>
        </row>
        <row r="201">
          <cell r="B201" t="str">
            <v>+</v>
          </cell>
          <cell r="C201" t="str">
            <v>C«ng t¸c dùng cét bª t«ng b»ng thñ c«ng</v>
          </cell>
        </row>
        <row r="202">
          <cell r="C202" t="str">
            <v>C«ng t¸c nèi mÆt bÝch</v>
          </cell>
        </row>
        <row r="203">
          <cell r="B203" t="str">
            <v>05.5101</v>
          </cell>
          <cell r="C203" t="str">
            <v>Nèi cét BTLT b»ng mÆt bÝch ë §K th­êng</v>
          </cell>
          <cell r="D203" t="str">
            <v>MNèi</v>
          </cell>
          <cell r="E203">
            <v>7222</v>
          </cell>
          <cell r="F203">
            <v>98184</v>
          </cell>
        </row>
        <row r="204">
          <cell r="B204" t="str">
            <v>05.5102</v>
          </cell>
          <cell r="C204" t="str">
            <v>Nèi cét BTLT b»ng mÆt bÝch ë §K s­ên ®åi</v>
          </cell>
          <cell r="D204" t="str">
            <v>MNèi</v>
          </cell>
          <cell r="E204">
            <v>7222</v>
          </cell>
          <cell r="F204">
            <v>103093</v>
          </cell>
        </row>
        <row r="205">
          <cell r="C205" t="str">
            <v>C«ng t¸c dùng cét</v>
          </cell>
        </row>
        <row r="206">
          <cell r="B206" t="str">
            <v>06.5211</v>
          </cell>
          <cell r="C206" t="str">
            <v>Dùng cét bª t«ng cao &lt;=8 m</v>
          </cell>
          <cell r="D206" t="str">
            <v>Cét</v>
          </cell>
          <cell r="E206">
            <v>11727</v>
          </cell>
          <cell r="F206">
            <v>150876</v>
          </cell>
        </row>
        <row r="207">
          <cell r="B207" t="str">
            <v>06.5212</v>
          </cell>
          <cell r="C207" t="str">
            <v>Dùng cét bª t«ng cao &lt;=10 m</v>
          </cell>
          <cell r="D207" t="str">
            <v>Cét</v>
          </cell>
          <cell r="E207">
            <v>11727</v>
          </cell>
          <cell r="F207">
            <v>162331</v>
          </cell>
        </row>
        <row r="208">
          <cell r="B208" t="str">
            <v>06.5213</v>
          </cell>
          <cell r="C208" t="str">
            <v>Dùng cét bª t«ng cao &lt;=12 m</v>
          </cell>
          <cell r="D208" t="str">
            <v>Cét</v>
          </cell>
          <cell r="E208">
            <v>11727</v>
          </cell>
          <cell r="F208">
            <v>173786</v>
          </cell>
        </row>
        <row r="209">
          <cell r="B209" t="str">
            <v>06.5214</v>
          </cell>
          <cell r="C209" t="str">
            <v>Dùng cét bª t«ng cao &lt;=14 m</v>
          </cell>
          <cell r="D209" t="str">
            <v>Cét</v>
          </cell>
          <cell r="E209">
            <v>11727</v>
          </cell>
          <cell r="F209">
            <v>216332</v>
          </cell>
        </row>
        <row r="210">
          <cell r="B210" t="str">
            <v>06.5215</v>
          </cell>
          <cell r="C210" t="str">
            <v>Dùng cét bª t«ng cao &lt;=16 m</v>
          </cell>
          <cell r="D210" t="str">
            <v>Cét</v>
          </cell>
          <cell r="E210">
            <v>13527</v>
          </cell>
          <cell r="F210">
            <v>235314</v>
          </cell>
        </row>
        <row r="211">
          <cell r="B211" t="str">
            <v>06.5216</v>
          </cell>
          <cell r="C211" t="str">
            <v>Dùng cét bª t«ng cao &lt;=18 m</v>
          </cell>
          <cell r="D211" t="str">
            <v>Cét</v>
          </cell>
          <cell r="E211">
            <v>13527</v>
          </cell>
          <cell r="F211">
            <v>306661</v>
          </cell>
        </row>
        <row r="212">
          <cell r="B212" t="str">
            <v>06.5217</v>
          </cell>
          <cell r="C212" t="str">
            <v>Dùng cét bª t«ng cao &lt;=20 m</v>
          </cell>
          <cell r="D212" t="str">
            <v>Cét</v>
          </cell>
          <cell r="E212">
            <v>13527</v>
          </cell>
          <cell r="F212">
            <v>357390</v>
          </cell>
        </row>
        <row r="213">
          <cell r="B213">
            <v>8</v>
          </cell>
          <cell r="C213" t="str">
            <v>C«ng t¸c l¾p ®Æt tiÕp ®Þa</v>
          </cell>
        </row>
        <row r="214">
          <cell r="C214" t="str">
            <v>C«ng t¸c l¾p ®Æt d©y tiÕp ®Þa fi</v>
          </cell>
        </row>
        <row r="215">
          <cell r="B215" t="str">
            <v>05.7001</v>
          </cell>
          <cell r="C215" t="str">
            <v>L¾p ®Æt tiÕp ®Þa cét ®iÖn F8 - F10</v>
          </cell>
          <cell r="D215" t="str">
            <v>Kg</v>
          </cell>
          <cell r="E215">
            <v>10.91</v>
          </cell>
          <cell r="F215">
            <v>311.82</v>
          </cell>
        </row>
        <row r="216">
          <cell r="B216" t="str">
            <v>05.7002</v>
          </cell>
          <cell r="C216" t="str">
            <v>L¾p ®Æt tiÕp ®Þa cét ®iÖn F12 - F14</v>
          </cell>
          <cell r="D216" t="str">
            <v>Kg</v>
          </cell>
          <cell r="E216">
            <v>8.18</v>
          </cell>
          <cell r="F216">
            <v>311.82</v>
          </cell>
        </row>
        <row r="217">
          <cell r="B217" t="str">
            <v>05.7003</v>
          </cell>
          <cell r="C217" t="str">
            <v>L¾p ®Æt tiÕp ®Þa cét ®iÖn F16 - F18</v>
          </cell>
          <cell r="D217" t="str">
            <v>Kg</v>
          </cell>
          <cell r="E217">
            <v>6.82</v>
          </cell>
          <cell r="F217">
            <v>205.8</v>
          </cell>
        </row>
        <row r="218">
          <cell r="C218" t="str">
            <v>C«ng t¸c l¾p ®Æt d©y tiÕp ®Þa thÐp dÑt -</v>
          </cell>
        </row>
        <row r="219">
          <cell r="B219" t="str">
            <v>05.7001</v>
          </cell>
          <cell r="C219" t="str">
            <v>L¾p ®Æt tiÕp ®Þa cét ®iÖn thÐp dÑt - 30x3</v>
          </cell>
          <cell r="D219" t="str">
            <v>Kg</v>
          </cell>
          <cell r="E219">
            <v>10.91</v>
          </cell>
          <cell r="F219">
            <v>311.82</v>
          </cell>
        </row>
        <row r="220">
          <cell r="B220" t="str">
            <v>05.7002</v>
          </cell>
          <cell r="C220" t="str">
            <v>L¾p ®Æt tiÕp ®Þa cét ®iÖn thÐp dÑt - 40x4</v>
          </cell>
          <cell r="D220" t="str">
            <v>Kg</v>
          </cell>
          <cell r="E220">
            <v>8.18</v>
          </cell>
          <cell r="F220">
            <v>311.82</v>
          </cell>
        </row>
        <row r="221">
          <cell r="B221" t="str">
            <v>05.7003</v>
          </cell>
          <cell r="C221" t="str">
            <v>L¾p ®Æt tiÕp ®Þa cét ®iÖn thÐp dÑt - 50x5</v>
          </cell>
          <cell r="D221" t="str">
            <v>Kg</v>
          </cell>
          <cell r="E221">
            <v>6.82</v>
          </cell>
          <cell r="F221">
            <v>205.8</v>
          </cell>
        </row>
        <row r="222">
          <cell r="C222" t="str">
            <v>C«ng t¸c l¾p ®Æt cäc tiÕp ®Þa ( cäc 2.5 m )</v>
          </cell>
        </row>
        <row r="223">
          <cell r="B223" t="str">
            <v>05.8001</v>
          </cell>
          <cell r="C223" t="str">
            <v>§ãng cäc tiÕp ®Þa ®Êt cÊp 1: L=2.5 m</v>
          </cell>
          <cell r="D223" t="str">
            <v>cäc</v>
          </cell>
          <cell r="E223">
            <v>735</v>
          </cell>
          <cell r="F223">
            <v>7795.5</v>
          </cell>
          <cell r="G223">
            <v>953.3</v>
          </cell>
        </row>
        <row r="224">
          <cell r="B224" t="str">
            <v>05.8002</v>
          </cell>
          <cell r="C224" t="str">
            <v>§ãng cäc tiÕp ®Þa ®Êt cÊp 2: L=2.5 m</v>
          </cell>
          <cell r="D224" t="str">
            <v>cäc</v>
          </cell>
          <cell r="E224">
            <v>735</v>
          </cell>
          <cell r="F224">
            <v>8731</v>
          </cell>
          <cell r="G224">
            <v>953.3</v>
          </cell>
        </row>
        <row r="225">
          <cell r="B225" t="str">
            <v>05.8003</v>
          </cell>
          <cell r="C225" t="str">
            <v>§ãng cäc tiÕp ®Þa ®Êt cÊp 3: L=2.5 m</v>
          </cell>
          <cell r="D225" t="str">
            <v>cäc</v>
          </cell>
          <cell r="E225">
            <v>735</v>
          </cell>
          <cell r="F225">
            <v>13657.7</v>
          </cell>
          <cell r="G225">
            <v>953.3</v>
          </cell>
        </row>
        <row r="226">
          <cell r="B226" t="str">
            <v>05.8004</v>
          </cell>
          <cell r="C226" t="str">
            <v>§ãng cäc tiÕp ®Þa ®Êt cÊp 4: L=2.5 m</v>
          </cell>
          <cell r="D226" t="str">
            <v>cäc</v>
          </cell>
          <cell r="E226">
            <v>735</v>
          </cell>
          <cell r="F226">
            <v>23386.5</v>
          </cell>
          <cell r="G226">
            <v>953.3</v>
          </cell>
        </row>
        <row r="227">
          <cell r="C227" t="str">
            <v>C«ng t¸c l¾p ®Æt cäc tiÕp ®Þa ( cäc 2.0 m )</v>
          </cell>
        </row>
        <row r="228">
          <cell r="B228" t="str">
            <v>05.8001</v>
          </cell>
          <cell r="C228" t="str">
            <v>§ãng cäc tiÕp ®Þa ®Êt cÊp 1: L=2.0 m</v>
          </cell>
          <cell r="D228" t="str">
            <v>cäc</v>
          </cell>
          <cell r="E228">
            <v>588</v>
          </cell>
          <cell r="F228">
            <v>6236.4</v>
          </cell>
          <cell r="G228">
            <v>762.64</v>
          </cell>
        </row>
        <row r="229">
          <cell r="B229" t="str">
            <v>05.8002</v>
          </cell>
          <cell r="C229" t="str">
            <v>§ãng cäc tiÕp ®Þa ®Êt cÊp 2: L=2.0 m</v>
          </cell>
          <cell r="D229" t="str">
            <v>cäc</v>
          </cell>
          <cell r="E229">
            <v>588</v>
          </cell>
          <cell r="F229">
            <v>6984.8</v>
          </cell>
          <cell r="G229">
            <v>762.64</v>
          </cell>
        </row>
        <row r="230">
          <cell r="B230" t="str">
            <v>05.8003</v>
          </cell>
          <cell r="C230" t="str">
            <v>§ãng cäc tiÕp ®Þa ®Êt cÊp 3: L=2.0 m</v>
          </cell>
          <cell r="D230" t="str">
            <v>cäc</v>
          </cell>
          <cell r="E230">
            <v>588</v>
          </cell>
          <cell r="F230">
            <v>10926.16</v>
          </cell>
          <cell r="G230">
            <v>762.64</v>
          </cell>
        </row>
        <row r="231">
          <cell r="B231" t="str">
            <v>05.8004</v>
          </cell>
          <cell r="C231" t="str">
            <v>§ãng cäc tiÕp ®Þa ®Êt cÊp 4: L=2.0 m</v>
          </cell>
          <cell r="D231" t="str">
            <v>cäc</v>
          </cell>
          <cell r="E231">
            <v>588</v>
          </cell>
          <cell r="F231">
            <v>18709.2</v>
          </cell>
          <cell r="G231">
            <v>762.64</v>
          </cell>
        </row>
        <row r="232">
          <cell r="B232">
            <v>9</v>
          </cell>
          <cell r="C232" t="str">
            <v>C«ng t¸c l¾p ®Æt xµ</v>
          </cell>
        </row>
        <row r="233">
          <cell r="C233" t="str">
            <v>C«ng t¸c l¾p ®Æt xµ ®ì</v>
          </cell>
        </row>
        <row r="234">
          <cell r="B234" t="str">
            <v>05.6101</v>
          </cell>
          <cell r="C234" t="str">
            <v>L¾p ®Æt xµ thÐp cét ®ì &lt;= 25 Kg</v>
          </cell>
          <cell r="D234" t="str">
            <v>Bé</v>
          </cell>
          <cell r="F234">
            <v>26505</v>
          </cell>
        </row>
        <row r="235">
          <cell r="B235" t="str">
            <v>05.6102</v>
          </cell>
          <cell r="C235" t="str">
            <v>L¾p ®Æt xµ thÐp cét ®ì &lt;= 50 Kg</v>
          </cell>
          <cell r="D235" t="str">
            <v>Bé</v>
          </cell>
          <cell r="F235">
            <v>35859</v>
          </cell>
        </row>
        <row r="236">
          <cell r="B236" t="str">
            <v>05.6103</v>
          </cell>
          <cell r="C236" t="str">
            <v>L¾p ®Æt xµ thÐp cét ®ì &lt;= 100 Kg</v>
          </cell>
          <cell r="D236" t="str">
            <v>Bé</v>
          </cell>
          <cell r="F236">
            <v>48332</v>
          </cell>
        </row>
        <row r="237">
          <cell r="B237" t="str">
            <v>05.6104</v>
          </cell>
          <cell r="C237" t="str">
            <v>L¾p ®Æt xµ thÐp cét ®ì &lt;= 140 Kg</v>
          </cell>
          <cell r="D237" t="str">
            <v>Bé</v>
          </cell>
          <cell r="F237">
            <v>57999</v>
          </cell>
        </row>
        <row r="238">
          <cell r="B238" t="str">
            <v>05.6105</v>
          </cell>
          <cell r="C238" t="str">
            <v>L¾p ®Æt xµ thÐp cét ®ì &lt;= 230 Kg</v>
          </cell>
          <cell r="D238" t="str">
            <v>Bé</v>
          </cell>
          <cell r="F238">
            <v>80138</v>
          </cell>
        </row>
        <row r="239">
          <cell r="B239" t="str">
            <v>05.6106</v>
          </cell>
          <cell r="C239" t="str">
            <v>L¾p ®Æt xµ thÐp cét ®ì &lt;= 320 Kg</v>
          </cell>
          <cell r="D239" t="str">
            <v>Bé</v>
          </cell>
          <cell r="F239">
            <v>102277</v>
          </cell>
        </row>
        <row r="240">
          <cell r="C240" t="str">
            <v>C«ng t¸c l¾p ®Æt xµ nÐo</v>
          </cell>
          <cell r="D240" t="str">
            <v>Kg/xµ</v>
          </cell>
        </row>
        <row r="241">
          <cell r="B241" t="str">
            <v>05.6201</v>
          </cell>
          <cell r="C241" t="str">
            <v>L¾p ®Æt xµ thÐp cét nÐo &lt;= 25 Kg</v>
          </cell>
          <cell r="D241">
            <v>25</v>
          </cell>
          <cell r="F241">
            <v>35236</v>
          </cell>
        </row>
        <row r="242">
          <cell r="B242" t="str">
            <v>05.6202</v>
          </cell>
          <cell r="C242" t="str">
            <v>L¾p ®Æt xµ thÐp cét nÐo &lt;= 50 Kg</v>
          </cell>
          <cell r="D242">
            <v>50</v>
          </cell>
          <cell r="F242">
            <v>47708</v>
          </cell>
        </row>
        <row r="243">
          <cell r="B243" t="str">
            <v>05.6203</v>
          </cell>
          <cell r="C243" t="str">
            <v>L¾p ®Æt xµ thÐp cét nÐo &lt;= 100 Kg</v>
          </cell>
          <cell r="D243">
            <v>100</v>
          </cell>
          <cell r="F243">
            <v>64235</v>
          </cell>
        </row>
        <row r="244">
          <cell r="B244" t="str">
            <v>05.6204</v>
          </cell>
          <cell r="C244" t="str">
            <v>L¾p ®Æt xµ thÐp cét nÐo &lt;= 140 Kg</v>
          </cell>
          <cell r="D244">
            <v>140</v>
          </cell>
          <cell r="F244">
            <v>77020</v>
          </cell>
        </row>
        <row r="245">
          <cell r="B245" t="str">
            <v>05.6205</v>
          </cell>
          <cell r="C245" t="str">
            <v>L¾p ®Æt xµ thÐp cét nÐo &lt;= 230 Kg</v>
          </cell>
          <cell r="D245">
            <v>230</v>
          </cell>
          <cell r="F245">
            <v>106331</v>
          </cell>
        </row>
        <row r="246">
          <cell r="B246" t="str">
            <v>05.6206</v>
          </cell>
          <cell r="C246" t="str">
            <v>L¾p ®Æt xµ thÐp cét nÐo &lt;= 320 Kg</v>
          </cell>
          <cell r="D246">
            <v>320</v>
          </cell>
          <cell r="F246">
            <v>135954</v>
          </cell>
        </row>
        <row r="247">
          <cell r="B247" t="str">
            <v>05.6207</v>
          </cell>
          <cell r="C247" t="str">
            <v>L¾p ®Æt xµ thÐp cét nÐo &lt;= 410 Kg</v>
          </cell>
          <cell r="D247">
            <v>410</v>
          </cell>
          <cell r="F247">
            <v>160275</v>
          </cell>
        </row>
        <row r="248">
          <cell r="C248" t="str">
            <v>C«ng t¸c l¾p ®Æt xµ thÐp cho cét ®óp</v>
          </cell>
          <cell r="D248" t="str">
            <v>Kg/xµ</v>
          </cell>
        </row>
        <row r="249">
          <cell r="B249" t="str">
            <v>05.6301</v>
          </cell>
          <cell r="C249" t="str">
            <v>L¾p ®Æt xµ thÐp cét ®óp &lt;= 140 Kg</v>
          </cell>
          <cell r="D249">
            <v>140</v>
          </cell>
          <cell r="F249">
            <v>65482</v>
          </cell>
        </row>
        <row r="250">
          <cell r="B250" t="str">
            <v>05.6302</v>
          </cell>
          <cell r="C250" t="str">
            <v>L¾p ®Æt xµ thÐp cét ®óp &lt;= 230 Kg</v>
          </cell>
          <cell r="D250">
            <v>230</v>
          </cell>
          <cell r="F250">
            <v>93234</v>
          </cell>
        </row>
        <row r="251">
          <cell r="B251" t="str">
            <v>05.6303</v>
          </cell>
          <cell r="C251" t="str">
            <v>L¾p ®Æt xµ thÐp cét ®óp &lt;= 320 Kg</v>
          </cell>
          <cell r="D251">
            <v>320</v>
          </cell>
          <cell r="F251">
            <v>116933</v>
          </cell>
        </row>
        <row r="252">
          <cell r="B252" t="str">
            <v>05.6304</v>
          </cell>
          <cell r="C252" t="str">
            <v>L¾p ®Æt xµ thÐp cét ®óp &lt;= 410 Kg</v>
          </cell>
          <cell r="D252">
            <v>410</v>
          </cell>
          <cell r="F252">
            <v>129093</v>
          </cell>
        </row>
        <row r="253">
          <cell r="C253" t="str">
            <v>C«ng t¸c l¾p ®Æt xµ thÐp cho cét h×nh  II</v>
          </cell>
          <cell r="D253" t="str">
            <v>Kg/xµ</v>
          </cell>
        </row>
        <row r="254">
          <cell r="B254" t="str">
            <v>05.6401</v>
          </cell>
          <cell r="C254" t="str">
            <v>L¾p ®Æt xµ thÐp cét II &lt;= 140 Kg</v>
          </cell>
          <cell r="D254">
            <v>140</v>
          </cell>
          <cell r="F254">
            <v>72654</v>
          </cell>
        </row>
        <row r="255">
          <cell r="B255" t="str">
            <v>05.6402</v>
          </cell>
          <cell r="C255" t="str">
            <v>L¾p ®Æt xµ thÐp cét II &lt;= 230 Kg</v>
          </cell>
          <cell r="D255">
            <v>230</v>
          </cell>
          <cell r="F255">
            <v>103836</v>
          </cell>
        </row>
        <row r="256">
          <cell r="B256" t="str">
            <v>05.6403</v>
          </cell>
          <cell r="C256" t="str">
            <v>L¾p ®Æt xµ thÐp cét II &lt;= 320 Kg</v>
          </cell>
          <cell r="D256">
            <v>320</v>
          </cell>
          <cell r="F256">
            <v>130029</v>
          </cell>
        </row>
        <row r="257">
          <cell r="B257" t="str">
            <v>05.6404</v>
          </cell>
          <cell r="C257" t="str">
            <v>L¾p ®Æt xµ thÐp cét II &lt;= 410 Kg</v>
          </cell>
          <cell r="D257">
            <v>410</v>
          </cell>
          <cell r="F257">
            <v>143437</v>
          </cell>
        </row>
        <row r="258">
          <cell r="C258" t="str">
            <v>Khi l¾p ghÕ thao t¸c, chôp ®Çu cét lÊy t­¬ng ®­¬ng l¾p xµ ®ì</v>
          </cell>
        </row>
        <row r="259">
          <cell r="C259" t="str">
            <v xml:space="preserve">Khi l¾p xµ trªn cét : Cét « vu«ng NCx1.3; Cét BTLT : NCx1.5; Cét II : NCx1.7 </v>
          </cell>
        </row>
        <row r="260">
          <cell r="B260" t="str">
            <v>10</v>
          </cell>
          <cell r="C260" t="str">
            <v>L¾p ®Æt sø</v>
          </cell>
        </row>
        <row r="261">
          <cell r="B261" t="str">
            <v>06.1211</v>
          </cell>
          <cell r="C261" t="str">
            <v>L¾p ®Æt sø ®øng h¹ thÕ</v>
          </cell>
          <cell r="D261" t="str">
            <v>sø</v>
          </cell>
          <cell r="E261">
            <v>132</v>
          </cell>
          <cell r="F261">
            <v>1778.2</v>
          </cell>
        </row>
        <row r="262">
          <cell r="C262" t="str">
            <v>D­íi ®Êt</v>
          </cell>
        </row>
        <row r="263">
          <cell r="B263" t="str">
            <v>06.1111</v>
          </cell>
          <cell r="C263" t="str">
            <v>L¾p ®Æt sø ®øng  lo¹i 6-10 KV</v>
          </cell>
          <cell r="D263" t="str">
            <v>sø</v>
          </cell>
          <cell r="E263">
            <v>280.89999999999998</v>
          </cell>
          <cell r="F263">
            <v>3430</v>
          </cell>
        </row>
        <row r="264">
          <cell r="B264" t="str">
            <v>06.1112</v>
          </cell>
          <cell r="C264" t="str">
            <v>L¾p ®Æt sø ®øng  lo¹i 22 KV</v>
          </cell>
          <cell r="D264" t="str">
            <v>sø</v>
          </cell>
          <cell r="E264">
            <v>280.89999999999998</v>
          </cell>
          <cell r="F264">
            <v>4708.5</v>
          </cell>
        </row>
        <row r="265">
          <cell r="B265" t="str">
            <v>06.1113</v>
          </cell>
          <cell r="C265" t="str">
            <v>L¾p ®Æt sø ®øng  lo¹i 35 KV</v>
          </cell>
          <cell r="D265" t="str">
            <v>sø</v>
          </cell>
          <cell r="E265">
            <v>280.89999999999998</v>
          </cell>
          <cell r="F265">
            <v>5986.9</v>
          </cell>
        </row>
        <row r="266">
          <cell r="C266" t="str">
            <v>Trªn cét</v>
          </cell>
        </row>
        <row r="267">
          <cell r="B267" t="str">
            <v>06.1124</v>
          </cell>
          <cell r="C267" t="str">
            <v>L¾p ®Æt sø ®øng  lo¹i 6-10 KV</v>
          </cell>
          <cell r="D267" t="str">
            <v>sø</v>
          </cell>
          <cell r="E267">
            <v>280.89999999999998</v>
          </cell>
          <cell r="F267">
            <v>3554.7</v>
          </cell>
        </row>
        <row r="268">
          <cell r="B268" t="str">
            <v>06.1125</v>
          </cell>
          <cell r="C268" t="str">
            <v>L¾p ®Æt sø ®øng  lo¹i 22 KV</v>
          </cell>
          <cell r="D268" t="str">
            <v>sø</v>
          </cell>
          <cell r="E268">
            <v>280.89999999999998</v>
          </cell>
          <cell r="F268">
            <v>4864.3999999999996</v>
          </cell>
        </row>
        <row r="269">
          <cell r="B269" t="str">
            <v>06.1126</v>
          </cell>
          <cell r="C269" t="str">
            <v>L¾p ®Æt sø ®øng  lo¹i 35 KV</v>
          </cell>
          <cell r="D269" t="str">
            <v>sø</v>
          </cell>
          <cell r="E269">
            <v>280.89999999999998</v>
          </cell>
          <cell r="F269">
            <v>6205.2</v>
          </cell>
        </row>
        <row r="270">
          <cell r="B270" t="str">
            <v>06.1411</v>
          </cell>
          <cell r="C270" t="str">
            <v>L¾p ®Æt sø chuçi ®ì &lt;=2 b¸t; H&lt;=20m</v>
          </cell>
          <cell r="D270" t="str">
            <v>Chuçi</v>
          </cell>
          <cell r="E270">
            <v>327</v>
          </cell>
          <cell r="F270">
            <v>5891</v>
          </cell>
        </row>
        <row r="271">
          <cell r="B271" t="str">
            <v>06.1421</v>
          </cell>
          <cell r="C271" t="str">
            <v>L¾p ®Æt sø chuçi ®ì &lt;=5 b¸t; H&lt;=20m</v>
          </cell>
          <cell r="D271" t="str">
            <v>Chuçi</v>
          </cell>
          <cell r="E271">
            <v>505</v>
          </cell>
          <cell r="F271">
            <v>13091</v>
          </cell>
        </row>
        <row r="272">
          <cell r="B272" t="str">
            <v>06.1511</v>
          </cell>
          <cell r="C272" t="str">
            <v>L¾p ®Æt sø chuçi nÐo d©y &lt;=2 b¸t; H&lt;=20m</v>
          </cell>
          <cell r="D272" t="str">
            <v>Chuçi</v>
          </cell>
          <cell r="E272">
            <v>327</v>
          </cell>
          <cell r="F272">
            <v>6218</v>
          </cell>
        </row>
        <row r="273">
          <cell r="B273" t="str">
            <v>06.1521</v>
          </cell>
          <cell r="C273" t="str">
            <v>L¾p ®Æt sø chuçi nÐo d©y &lt;=5 b¸t; H&lt;=20m</v>
          </cell>
          <cell r="D273" t="str">
            <v>Chuçi</v>
          </cell>
          <cell r="E273">
            <v>505</v>
          </cell>
          <cell r="F273">
            <v>14728</v>
          </cell>
        </row>
        <row r="274">
          <cell r="B274" t="str">
            <v>11</v>
          </cell>
          <cell r="C274" t="str">
            <v>L¾p ®Æt chuçi chèng sÐt</v>
          </cell>
        </row>
        <row r="275">
          <cell r="B275" t="str">
            <v>06.1301</v>
          </cell>
          <cell r="C275" t="str">
            <v>L¾p ®Æt chuçi chèng sÐt cao &lt;= 20 m</v>
          </cell>
          <cell r="D275" t="str">
            <v>Chuçi</v>
          </cell>
          <cell r="E275">
            <v>297</v>
          </cell>
          <cell r="F275">
            <v>7527</v>
          </cell>
        </row>
        <row r="276">
          <cell r="B276" t="str">
            <v>06.1302</v>
          </cell>
          <cell r="C276" t="str">
            <v>L¾p ®Æt chuçi chèng sÐt cao &lt;= 30 m</v>
          </cell>
          <cell r="D276" t="str">
            <v>Chuçi</v>
          </cell>
          <cell r="E276">
            <v>280.89999999999998</v>
          </cell>
          <cell r="F276">
            <v>7855</v>
          </cell>
        </row>
        <row r="277">
          <cell r="B277" t="str">
            <v>12</v>
          </cell>
          <cell r="C277" t="str">
            <v>C«ng t¸c l¾p ®Æt phô kiÖn</v>
          </cell>
        </row>
        <row r="278">
          <cell r="B278" t="str">
            <v>06.2011</v>
          </cell>
          <cell r="C278" t="str">
            <v>L¾p ®Æt t¹ chèng rung ë ®é cao &lt;=20m</v>
          </cell>
          <cell r="D278" t="str">
            <v>Bé</v>
          </cell>
          <cell r="F278">
            <v>11782</v>
          </cell>
        </row>
        <row r="279">
          <cell r="B279" t="str">
            <v>06.2051</v>
          </cell>
          <cell r="C279" t="str">
            <v>L¾p ®Ìn tÝn hiÖu trªn cét &lt; = 50 m</v>
          </cell>
          <cell r="D279" t="str">
            <v>Bé</v>
          </cell>
          <cell r="F279">
            <v>81820</v>
          </cell>
        </row>
        <row r="280">
          <cell r="B280" t="str">
            <v>06.2070</v>
          </cell>
          <cell r="C280" t="str">
            <v>L¾p biÓn cÊm, biÓn sè thø tù &lt;=20 m</v>
          </cell>
          <cell r="D280" t="str">
            <v>Bé</v>
          </cell>
          <cell r="F280">
            <v>6546</v>
          </cell>
        </row>
        <row r="281">
          <cell r="B281" t="str">
            <v>06.2090</v>
          </cell>
          <cell r="C281" t="str">
            <v>L¾p ®Æt chèng sÐt van ë ®é cao &lt;=20m</v>
          </cell>
          <cell r="D281" t="str">
            <v>Bé</v>
          </cell>
          <cell r="F281">
            <v>81820</v>
          </cell>
        </row>
        <row r="282">
          <cell r="B282" t="str">
            <v>06.2100</v>
          </cell>
          <cell r="C282" t="str">
            <v>L¾p ®Æt thu l«i èng ë ®é cao &lt;=20m</v>
          </cell>
          <cell r="D282" t="str">
            <v>Bé</v>
          </cell>
          <cell r="F282">
            <v>16364</v>
          </cell>
        </row>
        <row r="283">
          <cell r="B283" t="str">
            <v>06.2110</v>
          </cell>
          <cell r="C283" t="str">
            <v>L¾p ®Æt cæ dÒ ë ®é cao &lt;=20m</v>
          </cell>
          <cell r="D283" t="str">
            <v>Bé</v>
          </cell>
          <cell r="F283">
            <v>11455</v>
          </cell>
        </row>
        <row r="284">
          <cell r="B284" t="str">
            <v>06.2120</v>
          </cell>
          <cell r="C284" t="str">
            <v>L¾p d©y nÐo ë ®é cao &lt;=20m</v>
          </cell>
          <cell r="D284" t="str">
            <v>Bé</v>
          </cell>
          <cell r="F284">
            <v>14728</v>
          </cell>
        </row>
        <row r="285">
          <cell r="B285" t="str">
            <v>06.2130</v>
          </cell>
          <cell r="C285" t="str">
            <v xml:space="preserve">L¾p kÑp c¸p bäc ë ®é cao &lt;=20m </v>
          </cell>
          <cell r="D285" t="str">
            <v>Bé</v>
          </cell>
          <cell r="F285">
            <v>6546</v>
          </cell>
        </row>
        <row r="286">
          <cell r="B286" t="str">
            <v>06.2141</v>
          </cell>
          <cell r="C286" t="str">
            <v xml:space="preserve">L¾p kho¸ ®ì d©y dÉn, chèng sÐt ®é cao &lt;=20m , tiÕt diÖn &lt;70 mm2 </v>
          </cell>
          <cell r="D286" t="str">
            <v>Bé</v>
          </cell>
          <cell r="F286">
            <v>3600</v>
          </cell>
        </row>
        <row r="287">
          <cell r="B287" t="str">
            <v>06.2151</v>
          </cell>
          <cell r="C287" t="str">
            <v xml:space="preserve">L¾p kho¸ ®ì d©y dÉn, chèng sÐt ®é cao &lt;=20m , tiÕt diÖn &lt;240 mm2 </v>
          </cell>
          <cell r="D287" t="str">
            <v>Bé</v>
          </cell>
          <cell r="F287">
            <v>5564</v>
          </cell>
        </row>
        <row r="288">
          <cell r="B288" t="str">
            <v>06.3001</v>
          </cell>
          <cell r="C288" t="str">
            <v>L¾p ®Æt dao c¸ch ly 3 pha, trªn gÝa ®ì</v>
          </cell>
          <cell r="D288" t="str">
            <v>Bé</v>
          </cell>
          <cell r="F288">
            <v>60181</v>
          </cell>
        </row>
        <row r="289">
          <cell r="B289" t="str">
            <v>06.3002</v>
          </cell>
          <cell r="C289" t="str">
            <v>L¾p ®Æt dao c¸ch ly 3 pha, trªn sø vµ cÇu dao</v>
          </cell>
          <cell r="D289" t="str">
            <v>Bé</v>
          </cell>
          <cell r="E289">
            <v>1328</v>
          </cell>
          <cell r="F289">
            <v>171501</v>
          </cell>
        </row>
        <row r="290">
          <cell r="B290" t="str">
            <v>06.3003</v>
          </cell>
          <cell r="C290" t="str">
            <v>L¾p ®Æt dao c¸ch ly 3 pha, trªn ghÕ thao t¸c</v>
          </cell>
          <cell r="D290" t="str">
            <v>Bé</v>
          </cell>
          <cell r="F290">
            <v>60181</v>
          </cell>
        </row>
        <row r="291">
          <cell r="B291" t="str">
            <v xml:space="preserve">( NÕu trªn ®­êng d©y cã l¾p MC phô t¶i, tô bï th× ¸p dông ®¬n gi¸ nh©n c«ng TBA vµ x1,1 )  </v>
          </cell>
        </row>
        <row r="292">
          <cell r="B292">
            <v>13</v>
          </cell>
          <cell r="C292" t="str">
            <v>C«ng t¸c lµm dµn gi¸o v­ît ch­íng ng¹i vËt</v>
          </cell>
        </row>
        <row r="293">
          <cell r="C293" t="str">
            <v>C«ng t¸c lµm dµn gi¸o v­ît §Z th.tin,h¹ thÕ</v>
          </cell>
        </row>
        <row r="294">
          <cell r="B294" t="str">
            <v>06.5011</v>
          </cell>
          <cell r="C294" t="str">
            <v>KÐo d©y v­ît ®­êng th«ng tin, h¹ thÕ d©y &lt;= 50 mm2</v>
          </cell>
          <cell r="D294" t="str">
            <v>VtrÝ</v>
          </cell>
          <cell r="E294">
            <v>45336</v>
          </cell>
          <cell r="F294">
            <v>157781</v>
          </cell>
        </row>
        <row r="295">
          <cell r="B295" t="str">
            <v>06.5012</v>
          </cell>
          <cell r="C295" t="str">
            <v>KÐo d©y v­ît ®­êng th«ng tin, h¹ thÕ d©y &lt; = 95 mm2</v>
          </cell>
          <cell r="D295" t="str">
            <v>VtrÝ</v>
          </cell>
          <cell r="E295">
            <v>63004</v>
          </cell>
          <cell r="F295">
            <v>183038</v>
          </cell>
        </row>
        <row r="296">
          <cell r="B296" t="str">
            <v>06.5013</v>
          </cell>
          <cell r="C296" t="str">
            <v>KÐo d©y v­ît ®­êng th«ng tin, h¹ thÕ d©y &lt;= 150 mm2</v>
          </cell>
          <cell r="D296" t="str">
            <v>VtrÝ</v>
          </cell>
          <cell r="E296">
            <v>81005</v>
          </cell>
          <cell r="F296">
            <v>257252</v>
          </cell>
        </row>
        <row r="297">
          <cell r="B297" t="str">
            <v>06.5014</v>
          </cell>
          <cell r="C297" t="str">
            <v>KÐo d©y v­ît ®­êng th«ng tin, h¹ thÕ d©y &lt;= 240 mm2</v>
          </cell>
          <cell r="D297" t="str">
            <v>VtrÝ</v>
          </cell>
          <cell r="E297">
            <v>98005</v>
          </cell>
          <cell r="F297">
            <v>289057</v>
          </cell>
        </row>
        <row r="298">
          <cell r="C298" t="str">
            <v>C«ng t¸c lµm dµn gi¸o v­ît §Z &lt;= 35 KV</v>
          </cell>
        </row>
        <row r="299">
          <cell r="B299" t="str">
            <v>06.5021</v>
          </cell>
          <cell r="C299" t="str">
            <v>KÐo d©y v­ît ®­êng d©y &lt;= 35 KV, d©y &lt;= 50 mm2</v>
          </cell>
          <cell r="D299" t="str">
            <v>VtrÝ</v>
          </cell>
          <cell r="E299">
            <v>72004</v>
          </cell>
          <cell r="F299">
            <v>212661</v>
          </cell>
        </row>
        <row r="300">
          <cell r="B300" t="str">
            <v>06.5022</v>
          </cell>
          <cell r="C300" t="str">
            <v>KÐo d©y v­ît ®­êng d©y &lt;= 35 KV, d©y &lt; = 95 mm2</v>
          </cell>
          <cell r="D300" t="str">
            <v>VtrÝ</v>
          </cell>
          <cell r="E300">
            <v>90005</v>
          </cell>
          <cell r="F300">
            <v>244779</v>
          </cell>
        </row>
        <row r="301">
          <cell r="B301" t="str">
            <v>06.5023</v>
          </cell>
          <cell r="C301" t="str">
            <v>KÐo d©y v­ît ®­êng d©y &lt;= 35 KV, d©y &lt;= 150 mm2</v>
          </cell>
          <cell r="D301" t="str">
            <v>VtrÝ</v>
          </cell>
          <cell r="E301">
            <v>106672</v>
          </cell>
          <cell r="F301">
            <v>299659</v>
          </cell>
        </row>
        <row r="302">
          <cell r="B302" t="str">
            <v>06.5024</v>
          </cell>
          <cell r="C302" t="str">
            <v>KÐo d©y v­ît ®­êng d©y &lt;= 35 KV, d©y &lt;= 240 mm2</v>
          </cell>
          <cell r="D302" t="str">
            <v>VtrÝ</v>
          </cell>
          <cell r="E302">
            <v>135008</v>
          </cell>
          <cell r="F302">
            <v>335207</v>
          </cell>
        </row>
        <row r="303">
          <cell r="C303" t="str">
            <v>C«ng t¸c lµm dµn gi¸o v­ît ®­êng « t« &lt;= 5m, ®­êng s¾t</v>
          </cell>
        </row>
        <row r="304">
          <cell r="B304" t="str">
            <v>06.5041</v>
          </cell>
          <cell r="C304" t="str">
            <v>V­ît ®­êng giao th«ng &lt;=5m; ®­êng s¾t; d©y &lt;=50 mm2</v>
          </cell>
          <cell r="D304" t="str">
            <v>VtrÝ</v>
          </cell>
          <cell r="E304">
            <v>72004</v>
          </cell>
          <cell r="F304">
            <v>212661</v>
          </cell>
        </row>
        <row r="305">
          <cell r="B305" t="str">
            <v>06.5042</v>
          </cell>
          <cell r="C305" t="str">
            <v>V­ît ®­êng giao th«ng &lt;=5m; ®­êng s¾t; d©y &lt;=95 mm2</v>
          </cell>
          <cell r="D305" t="str">
            <v>VtrÝ</v>
          </cell>
          <cell r="E305">
            <v>90005</v>
          </cell>
          <cell r="F305">
            <v>244779</v>
          </cell>
        </row>
        <row r="306">
          <cell r="B306" t="str">
            <v>06.5043</v>
          </cell>
          <cell r="C306" t="str">
            <v>V­ît ®­êng giao th«ng &lt;=5m; ®­êng s¾t; d©y &lt;=150 mm2</v>
          </cell>
          <cell r="D306" t="str">
            <v>VtrÝ</v>
          </cell>
          <cell r="E306">
            <v>108006</v>
          </cell>
          <cell r="F306">
            <v>299659</v>
          </cell>
        </row>
        <row r="307">
          <cell r="B307" t="str">
            <v>06.5044</v>
          </cell>
          <cell r="C307" t="str">
            <v>V­ît ®­êng giao th«ng &lt;=5m; ®­êng s¾t; d©y &lt;=240 mm2</v>
          </cell>
          <cell r="D307" t="str">
            <v>VtrÝ</v>
          </cell>
          <cell r="E307">
            <v>135008</v>
          </cell>
          <cell r="F307">
            <v>335207</v>
          </cell>
        </row>
        <row r="308">
          <cell r="C308" t="str">
            <v>C«ng t¸c lµm dµn gi¸o v­ît ®­êng « t« &lt;= 10m</v>
          </cell>
        </row>
        <row r="309">
          <cell r="B309" t="str">
            <v>06.5051</v>
          </cell>
          <cell r="C309" t="str">
            <v>V­ît ®­êng giao th«ng &lt;=10 m; d©y &lt;=50 mm2</v>
          </cell>
          <cell r="D309" t="str">
            <v>VtrÝ</v>
          </cell>
          <cell r="E309">
            <v>90005</v>
          </cell>
          <cell r="F309">
            <v>253198</v>
          </cell>
        </row>
        <row r="310">
          <cell r="B310" t="str">
            <v>06.5052</v>
          </cell>
          <cell r="C310" t="str">
            <v>V­ît ®­êng giao th«ng &lt;=10 m; d©y &lt;=95 mm2</v>
          </cell>
          <cell r="D310" t="str">
            <v>VtrÝ</v>
          </cell>
          <cell r="E310">
            <v>124606</v>
          </cell>
          <cell r="F310">
            <v>320239</v>
          </cell>
        </row>
        <row r="311">
          <cell r="B311" t="str">
            <v>06.5053</v>
          </cell>
          <cell r="C311" t="str">
            <v>V­ît ®­êng giao th«ng &lt;=10 m; d©y &lt;=150 mm2</v>
          </cell>
          <cell r="D311" t="str">
            <v>VtrÝ</v>
          </cell>
          <cell r="E311">
            <v>159008</v>
          </cell>
          <cell r="F311">
            <v>391646</v>
          </cell>
        </row>
        <row r="312">
          <cell r="B312" t="str">
            <v>06.5054</v>
          </cell>
          <cell r="C312" t="str">
            <v>V­ît ®­êng giao th«ng &lt;=10 m; d©y &lt;=240 mm2</v>
          </cell>
          <cell r="D312" t="str">
            <v>VtrÝ</v>
          </cell>
          <cell r="E312">
            <v>197344</v>
          </cell>
          <cell r="F312">
            <v>439978</v>
          </cell>
        </row>
        <row r="313">
          <cell r="C313" t="str">
            <v>C«ng t¸c lµm dµn gi¸o v­ît ®­êng « t« &gt; 10m</v>
          </cell>
        </row>
        <row r="314">
          <cell r="B314" t="str">
            <v>06.5061</v>
          </cell>
          <cell r="C314" t="str">
            <v>V­ît ®­êng giao th«ng &lt;=10 m; d©y &lt;=50 mm2</v>
          </cell>
          <cell r="D314" t="str">
            <v>VtrÝ</v>
          </cell>
          <cell r="E314">
            <v>106005</v>
          </cell>
          <cell r="F314">
            <v>289993</v>
          </cell>
        </row>
        <row r="315">
          <cell r="B315" t="str">
            <v>06.5062</v>
          </cell>
          <cell r="C315" t="str">
            <v>V­ît ®­êng giao th«ng &lt;=10 m; d©y &lt;=95 mm2</v>
          </cell>
          <cell r="D315" t="str">
            <v>VtrÝ</v>
          </cell>
          <cell r="E315">
            <v>150941</v>
          </cell>
          <cell r="F315">
            <v>383539</v>
          </cell>
        </row>
        <row r="316">
          <cell r="B316" t="str">
            <v>06.5063</v>
          </cell>
          <cell r="C316" t="str">
            <v>V­ît ®­êng giao th«ng &lt;=10 m; d©y &lt;=150 mm2</v>
          </cell>
          <cell r="D316" t="str">
            <v>VtrÝ</v>
          </cell>
          <cell r="E316">
            <v>197344</v>
          </cell>
          <cell r="F316">
            <v>469289</v>
          </cell>
        </row>
        <row r="317">
          <cell r="B317" t="str">
            <v>06.5064</v>
          </cell>
          <cell r="C317" t="str">
            <v>V­ît ®­êng giao th«ng &lt;=10 m; d©y &lt;=240 mm2</v>
          </cell>
          <cell r="D317" t="str">
            <v>VtrÝ</v>
          </cell>
          <cell r="E317">
            <v>230678</v>
          </cell>
          <cell r="F317">
            <v>527288</v>
          </cell>
        </row>
        <row r="318">
          <cell r="C318" t="str">
            <v>KÐo d©y qua vÞ trÝ bÎ gãc</v>
          </cell>
        </row>
        <row r="319">
          <cell r="B319" t="str">
            <v>06.5071</v>
          </cell>
          <cell r="C319" t="str">
            <v>KÐo d©y qua vÞ trÝ bÎ gãc lo¹i d©y &lt;=50 mm2</v>
          </cell>
          <cell r="D319" t="str">
            <v>VtrÝ</v>
          </cell>
          <cell r="F319">
            <v>62364</v>
          </cell>
        </row>
        <row r="320">
          <cell r="B320" t="str">
            <v>06.5072</v>
          </cell>
          <cell r="C320" t="str">
            <v>KÐo d©y qua vÞ trÝ bÎ gãc lo¹i d©y &lt;=95 mm2</v>
          </cell>
          <cell r="D320" t="str">
            <v>VtrÝ</v>
          </cell>
          <cell r="F320">
            <v>124728</v>
          </cell>
        </row>
        <row r="321">
          <cell r="B321" t="str">
            <v>06.5073</v>
          </cell>
          <cell r="C321" t="str">
            <v>KÐo d©y qua vÞ trÝ bÎ gãc lo¹i d©y &lt;=150 mm2</v>
          </cell>
          <cell r="D321" t="str">
            <v>VtrÝ</v>
          </cell>
          <cell r="F321">
            <v>157781</v>
          </cell>
        </row>
        <row r="322">
          <cell r="B322" t="str">
            <v>06.5074</v>
          </cell>
          <cell r="C322" t="str">
            <v>KÐo d©y qua vÞ trÝ bÎ gãc lo¹i d©y &lt;=240 mm2</v>
          </cell>
          <cell r="D322" t="str">
            <v>VtrÝ</v>
          </cell>
          <cell r="F322">
            <v>163082</v>
          </cell>
        </row>
        <row r="323">
          <cell r="C323" t="str">
            <v>KÐo d©y qua s«ng &lt;= 300 m</v>
          </cell>
        </row>
        <row r="324">
          <cell r="B324" t="str">
            <v>06.5081</v>
          </cell>
          <cell r="C324" t="str">
            <v>KÐo d©y qua s«ng &lt; 300 m, d©y &lt; 95 mm2</v>
          </cell>
          <cell r="D324" t="str">
            <v>VtrÝ</v>
          </cell>
          <cell r="F324">
            <v>526664</v>
          </cell>
        </row>
        <row r="325">
          <cell r="B325" t="str">
            <v>06.5082</v>
          </cell>
          <cell r="C325" t="str">
            <v>KÐo d©y qua s«ng &lt; 300 m, d©y &lt; 150 mm2</v>
          </cell>
          <cell r="D325" t="str">
            <v>VtrÝ</v>
          </cell>
          <cell r="F325">
            <v>788905</v>
          </cell>
        </row>
        <row r="326">
          <cell r="B326" t="str">
            <v>06.5083</v>
          </cell>
          <cell r="C326" t="str">
            <v>KÐo d©y qua s«ng &lt; 300 m, d©y &lt; 240 mm2</v>
          </cell>
          <cell r="D326" t="str">
            <v>VtrÝ</v>
          </cell>
          <cell r="F326">
            <v>888063</v>
          </cell>
        </row>
        <row r="327">
          <cell r="C327" t="str">
            <v>KÐo d©y qua s«ng &gt; 300 m</v>
          </cell>
        </row>
        <row r="328">
          <cell r="B328" t="str">
            <v>06.5091</v>
          </cell>
          <cell r="C328" t="str">
            <v>KÐo d©y qua s«ng &gt; 300 m, d©y &lt; 95 mm2</v>
          </cell>
          <cell r="D328" t="str">
            <v>VtrÝ</v>
          </cell>
          <cell r="F328">
            <v>841914</v>
          </cell>
        </row>
        <row r="329">
          <cell r="B329" t="str">
            <v>06.5092</v>
          </cell>
          <cell r="C329" t="str">
            <v>KÐo d©y qua s«ng &gt; 300 m, d©y &lt; 150 mm2</v>
          </cell>
          <cell r="D329" t="str">
            <v>VtrÝ</v>
          </cell>
          <cell r="F329">
            <v>1260376</v>
          </cell>
        </row>
        <row r="330">
          <cell r="B330" t="str">
            <v>06.5093</v>
          </cell>
          <cell r="C330" t="str">
            <v>KÐo d©y qua s«ng &gt; 300 m, d©y &lt; 240 mm2</v>
          </cell>
          <cell r="D330" t="str">
            <v>VtrÝ</v>
          </cell>
          <cell r="F330">
            <v>1420652</v>
          </cell>
        </row>
        <row r="331">
          <cell r="B331">
            <v>14</v>
          </cell>
          <cell r="C331" t="str">
            <v>C«ng t¸c r¶i c¨ng d©y lÊy ®é vâng</v>
          </cell>
        </row>
        <row r="332">
          <cell r="C332" t="str">
            <v>D©y AC, ACSR</v>
          </cell>
        </row>
        <row r="333">
          <cell r="B333" t="str">
            <v>06.6103</v>
          </cell>
          <cell r="C333" t="str">
            <v>R·i c¨ng d©y nh«m AC35 b»ng thñ c«ng</v>
          </cell>
          <cell r="D333" t="str">
            <v>Km</v>
          </cell>
          <cell r="E333">
            <v>121400</v>
          </cell>
          <cell r="F333">
            <v>399282</v>
          </cell>
        </row>
        <row r="334">
          <cell r="B334" t="str">
            <v>06.6104</v>
          </cell>
          <cell r="C334" t="str">
            <v>R·i c¨ng d©y nh«m AC50 b»ng thñ c«ng</v>
          </cell>
          <cell r="D334" t="str">
            <v>Km</v>
          </cell>
          <cell r="E334">
            <v>121700</v>
          </cell>
          <cell r="F334">
            <v>525939</v>
          </cell>
        </row>
        <row r="335">
          <cell r="B335" t="str">
            <v>06.6105</v>
          </cell>
          <cell r="C335" t="str">
            <v>R·i c¨ng d©y nh«m AC70 b»ng thñ c«ng</v>
          </cell>
          <cell r="D335" t="str">
            <v>Km</v>
          </cell>
          <cell r="E335">
            <v>121700</v>
          </cell>
          <cell r="F335">
            <v>702670</v>
          </cell>
        </row>
        <row r="336">
          <cell r="B336" t="str">
            <v>06.6106</v>
          </cell>
          <cell r="C336" t="str">
            <v>R·i c¨ng d©y nh«m AC95 b»ng thñ c«ng</v>
          </cell>
          <cell r="D336" t="str">
            <v>Km</v>
          </cell>
          <cell r="E336">
            <v>121700</v>
          </cell>
          <cell r="F336">
            <v>956967</v>
          </cell>
        </row>
        <row r="337">
          <cell r="B337" t="str">
            <v>06.6107</v>
          </cell>
          <cell r="C337" t="str">
            <v>R·i c¨ng d©y nh«m AC120 b»ng thñ c«ng</v>
          </cell>
          <cell r="D337" t="str">
            <v>Km</v>
          </cell>
          <cell r="E337">
            <v>172201</v>
          </cell>
          <cell r="F337">
            <v>1185918</v>
          </cell>
        </row>
        <row r="338">
          <cell r="B338" t="str">
            <v>06.6108</v>
          </cell>
          <cell r="C338" t="str">
            <v>R·i c¨ng d©y nh«m AC150 b»ng thñ c«ng</v>
          </cell>
          <cell r="D338" t="str">
            <v>Km</v>
          </cell>
          <cell r="E338">
            <v>172201</v>
          </cell>
          <cell r="F338">
            <v>1435015</v>
          </cell>
        </row>
        <row r="339">
          <cell r="B339" t="str">
            <v>06.6109</v>
          </cell>
          <cell r="C339" t="str">
            <v>R·i c¨ng d©y nh«m AC185 b»ng thñ c«ng</v>
          </cell>
          <cell r="D339" t="str">
            <v>Km</v>
          </cell>
          <cell r="E339">
            <v>172201</v>
          </cell>
          <cell r="F339">
            <v>1693498</v>
          </cell>
        </row>
        <row r="340">
          <cell r="B340" t="str">
            <v>06.6110</v>
          </cell>
          <cell r="C340" t="str">
            <v>R·i c¨ng d©y nh«m AC240 b»ng thñ c«ng</v>
          </cell>
          <cell r="D340" t="str">
            <v>Km</v>
          </cell>
          <cell r="E340">
            <v>172201</v>
          </cell>
          <cell r="F340">
            <v>1862451</v>
          </cell>
        </row>
        <row r="341">
          <cell r="C341" t="str">
            <v>D©y A</v>
          </cell>
        </row>
        <row r="342">
          <cell r="B342" t="str">
            <v>06.6121</v>
          </cell>
          <cell r="C342" t="str">
            <v>R·i c¨ng d©y nh«m A-16 b»ng thñ c«ng</v>
          </cell>
          <cell r="D342" t="str">
            <v>Km</v>
          </cell>
          <cell r="E342">
            <v>121400</v>
          </cell>
          <cell r="F342">
            <v>186550</v>
          </cell>
        </row>
        <row r="343">
          <cell r="B343" t="str">
            <v>06.6122</v>
          </cell>
          <cell r="C343" t="str">
            <v>R·i c¨ng d©y nh«m A-25 b»ng thñ c«ng</v>
          </cell>
          <cell r="D343" t="str">
            <v>Km</v>
          </cell>
          <cell r="E343">
            <v>121400</v>
          </cell>
          <cell r="F343">
            <v>245460</v>
          </cell>
        </row>
        <row r="344">
          <cell r="B344" t="str">
            <v>06.6123</v>
          </cell>
          <cell r="C344" t="str">
            <v>R·i c¨ng d©y nh«m A-35 b»ng thñ c«ng</v>
          </cell>
          <cell r="D344" t="str">
            <v>Km</v>
          </cell>
          <cell r="E344">
            <v>121400</v>
          </cell>
          <cell r="F344">
            <v>320734</v>
          </cell>
        </row>
        <row r="345">
          <cell r="B345" t="str">
            <v>06.6124</v>
          </cell>
          <cell r="C345" t="str">
            <v>R·i c¨ng d©y nh«m A-50 b»ng thñ c«ng</v>
          </cell>
          <cell r="D345" t="str">
            <v>Km</v>
          </cell>
          <cell r="E345">
            <v>121700</v>
          </cell>
          <cell r="F345">
            <v>418918</v>
          </cell>
        </row>
        <row r="346">
          <cell r="B346" t="str">
            <v>06.6125</v>
          </cell>
          <cell r="C346" t="str">
            <v>R·i c¨ng d©y nh«m A-70 b»ng thñ c«ng</v>
          </cell>
          <cell r="D346" t="str">
            <v>Km</v>
          </cell>
          <cell r="E346">
            <v>121700</v>
          </cell>
          <cell r="F346">
            <v>562922</v>
          </cell>
        </row>
        <row r="347">
          <cell r="B347" t="str">
            <v>06.6126</v>
          </cell>
          <cell r="C347" t="str">
            <v>R·i c¨ng d©y nh«m A-95 b»ng thñ c«ng</v>
          </cell>
          <cell r="D347" t="str">
            <v>Km</v>
          </cell>
          <cell r="E347">
            <v>121700</v>
          </cell>
          <cell r="F347">
            <v>769108</v>
          </cell>
        </row>
        <row r="348">
          <cell r="B348" t="str">
            <v>06.6127</v>
          </cell>
          <cell r="C348" t="str">
            <v>R·i c¨ng d©y nh«m A-120 b»ng thñ c«ng</v>
          </cell>
          <cell r="D348" t="str">
            <v>Km</v>
          </cell>
          <cell r="E348">
            <v>172201</v>
          </cell>
          <cell r="F348">
            <v>961385</v>
          </cell>
        </row>
        <row r="349">
          <cell r="B349" t="str">
            <v>06.6128</v>
          </cell>
          <cell r="C349" t="str">
            <v>R·i c¨ng d©y nh«m A-150 b»ng thñ c«ng</v>
          </cell>
          <cell r="D349" t="str">
            <v>Km</v>
          </cell>
          <cell r="E349">
            <v>172201</v>
          </cell>
          <cell r="F349">
            <v>1105592.75</v>
          </cell>
        </row>
        <row r="350">
          <cell r="B350" t="str">
            <v>06.6129</v>
          </cell>
          <cell r="C350" t="str">
            <v>R·i c¨ng d©y nh«m A-185 b»ng thñ c«ng</v>
          </cell>
          <cell r="D350" t="str">
            <v>Km</v>
          </cell>
          <cell r="E350">
            <v>172201</v>
          </cell>
          <cell r="F350">
            <v>1271431.6624999999</v>
          </cell>
        </row>
        <row r="351">
          <cell r="B351" t="str">
            <v>06.6130</v>
          </cell>
          <cell r="C351" t="str">
            <v>R·i c¨ng d©y nh«m A-240 b»ng thñ c«ng</v>
          </cell>
          <cell r="D351" t="str">
            <v>Km</v>
          </cell>
          <cell r="E351">
            <v>172201</v>
          </cell>
          <cell r="F351">
            <v>1462146.4118749998</v>
          </cell>
        </row>
        <row r="352">
          <cell r="C352" t="str">
            <v>D©y chèng sÐt</v>
          </cell>
        </row>
        <row r="353">
          <cell r="B353" t="str">
            <v>06.6131</v>
          </cell>
          <cell r="C353" t="str">
            <v>R·i c¨ng d©y chèng sÐt S&lt;= 16 mm2 b»ng thñ c«ng</v>
          </cell>
          <cell r="D353" t="str">
            <v>Km</v>
          </cell>
          <cell r="E353">
            <v>121400</v>
          </cell>
          <cell r="F353">
            <v>532485</v>
          </cell>
        </row>
        <row r="354">
          <cell r="B354" t="str">
            <v>06.6132</v>
          </cell>
          <cell r="C354" t="str">
            <v>R·i c¨ng d©y chèng sÐt S&lt;= 25 mm2 b»ng thñ c«ng</v>
          </cell>
          <cell r="D354" t="str">
            <v>Km</v>
          </cell>
          <cell r="E354">
            <v>121400</v>
          </cell>
          <cell r="F354">
            <v>654560</v>
          </cell>
        </row>
        <row r="355">
          <cell r="B355" t="str">
            <v>06.6133</v>
          </cell>
          <cell r="C355" t="str">
            <v>R·i c¨ng d©y chèng sÐt S&lt;= 35 mm2 b»ng thñ c«ng</v>
          </cell>
          <cell r="D355" t="str">
            <v>Km</v>
          </cell>
          <cell r="E355">
            <v>121400</v>
          </cell>
          <cell r="F355">
            <v>736053</v>
          </cell>
        </row>
        <row r="356">
          <cell r="B356" t="str">
            <v>06.6134</v>
          </cell>
          <cell r="C356" t="str">
            <v>R·i c¨ng d©y chèng sÐt S&lt;= 50 mm2 b»ng thñ c«ng</v>
          </cell>
          <cell r="D356" t="str">
            <v>Km</v>
          </cell>
          <cell r="E356">
            <v>121700</v>
          </cell>
          <cell r="F356">
            <v>824746</v>
          </cell>
        </row>
        <row r="357">
          <cell r="B357" t="str">
            <v>06.6135</v>
          </cell>
          <cell r="C357" t="str">
            <v>R·i c¨ng d©y chèng sÐt S&lt;= 70mm2 b»ng thñ c«ng</v>
          </cell>
          <cell r="D357" t="str">
            <v>Km</v>
          </cell>
          <cell r="E357">
            <v>121700</v>
          </cell>
          <cell r="F357">
            <v>989695</v>
          </cell>
        </row>
        <row r="358">
          <cell r="C358" t="str">
            <v>D©y M</v>
          </cell>
        </row>
        <row r="359">
          <cell r="B359" t="str">
            <v>06.6142</v>
          </cell>
          <cell r="C359" t="str">
            <v>R·i c¨ng d©y ®ång S=25 mm2 b»ng thñ c«ng</v>
          </cell>
          <cell r="D359" t="str">
            <v>Km</v>
          </cell>
          <cell r="E359">
            <v>121400</v>
          </cell>
          <cell r="F359">
            <v>473574</v>
          </cell>
        </row>
        <row r="360">
          <cell r="B360" t="str">
            <v>06.6143</v>
          </cell>
          <cell r="C360" t="str">
            <v>R·i c¨ng d©y ®ång S=35 mm2 b»ng thñ c«ng</v>
          </cell>
          <cell r="D360" t="str">
            <v>Km</v>
          </cell>
          <cell r="E360">
            <v>121400</v>
          </cell>
          <cell r="F360">
            <v>519066</v>
          </cell>
        </row>
        <row r="361">
          <cell r="B361" t="str">
            <v>06.6144</v>
          </cell>
          <cell r="C361" t="str">
            <v>R·i c¨ng d©y ®ång S=50 mm2 b»ng thñ c«ng</v>
          </cell>
          <cell r="D361" t="str">
            <v>Km</v>
          </cell>
          <cell r="E361">
            <v>121700</v>
          </cell>
          <cell r="F361">
            <v>678124</v>
          </cell>
        </row>
        <row r="362">
          <cell r="B362" t="str">
            <v>06.6145</v>
          </cell>
          <cell r="C362" t="str">
            <v>R·i c¨ng d©y ®ång S=70 mm2 b»ng thñ c«ng</v>
          </cell>
          <cell r="D362" t="str">
            <v>Km</v>
          </cell>
          <cell r="E362">
            <v>121700</v>
          </cell>
          <cell r="F362">
            <v>913438</v>
          </cell>
        </row>
        <row r="363">
          <cell r="B363" t="str">
            <v>06.6146</v>
          </cell>
          <cell r="C363" t="str">
            <v>R·i c¨ng d©y ®ång S=95 mm2 b»ng thñ c«ng</v>
          </cell>
          <cell r="D363" t="str">
            <v>Km</v>
          </cell>
          <cell r="E363">
            <v>121700</v>
          </cell>
          <cell r="F363">
            <v>1244973</v>
          </cell>
        </row>
        <row r="364">
          <cell r="B364" t="str">
            <v>06.6147</v>
          </cell>
          <cell r="C364" t="str">
            <v>R·i c¨ng d©y ®ång S=120 mm2 b»ng thñ c«ng</v>
          </cell>
          <cell r="D364" t="str">
            <v>Km</v>
          </cell>
          <cell r="E364">
            <v>172201</v>
          </cell>
          <cell r="F364">
            <v>1531043</v>
          </cell>
        </row>
        <row r="365">
          <cell r="C365" t="str">
            <v xml:space="preserve">D©y c¸p vÆn xo¾n </v>
          </cell>
        </row>
        <row r="366">
          <cell r="B366" t="str">
            <v>06.7001</v>
          </cell>
          <cell r="C366" t="str">
            <v>R·i c¨ng d©y c¸p vÆn xo¾n 4x16 mm2 b»ng thñ c«ng</v>
          </cell>
          <cell r="D366" t="str">
            <v>Km</v>
          </cell>
          <cell r="E366">
            <v>4831</v>
          </cell>
          <cell r="F366">
            <v>422191</v>
          </cell>
        </row>
        <row r="367">
          <cell r="B367" t="str">
            <v>06.7002</v>
          </cell>
          <cell r="C367" t="str">
            <v>R·i c¨ng d©y c¸p vÆn xo¾n 4x25 mm2 b»ng thñ c«ng</v>
          </cell>
          <cell r="D367" t="str">
            <v>Km</v>
          </cell>
          <cell r="E367">
            <v>4831</v>
          </cell>
          <cell r="F367">
            <v>574049</v>
          </cell>
        </row>
        <row r="368">
          <cell r="B368" t="str">
            <v>06.7003</v>
          </cell>
          <cell r="C368" t="str">
            <v>R·i c¨ng d©y c¸p vÆn xo¾n 4x35 mm2 b»ng thñ c«ng</v>
          </cell>
          <cell r="D368" t="str">
            <v>Km</v>
          </cell>
          <cell r="E368">
            <v>4831</v>
          </cell>
          <cell r="F368">
            <v>645069</v>
          </cell>
        </row>
        <row r="369">
          <cell r="B369" t="str">
            <v>06.7004</v>
          </cell>
          <cell r="C369" t="str">
            <v>R·i c¨ng d©y c¸p vÆn xo¾n 4x50 mm2 b»ng thñ c«ng</v>
          </cell>
          <cell r="D369" t="str">
            <v>Km</v>
          </cell>
          <cell r="E369">
            <v>5296</v>
          </cell>
          <cell r="F369">
            <v>780563</v>
          </cell>
        </row>
        <row r="370">
          <cell r="B370" t="str">
            <v>06.7005</v>
          </cell>
          <cell r="C370" t="str">
            <v>R·i c¨ng d©y c¸p vÆn xo¾n 4x70 mm2 b»ng thñ c«ng</v>
          </cell>
          <cell r="D370" t="str">
            <v>Km</v>
          </cell>
          <cell r="E370">
            <v>5571</v>
          </cell>
          <cell r="F370">
            <v>921293</v>
          </cell>
        </row>
        <row r="371">
          <cell r="B371" t="str">
            <v>06.7006</v>
          </cell>
          <cell r="C371" t="str">
            <v>R·i c¨ng d©y c¸p vÆn xo¾n 4x95 mm2 b»ng thñ c«ng</v>
          </cell>
          <cell r="D371" t="str">
            <v>Km</v>
          </cell>
          <cell r="E371">
            <v>6037</v>
          </cell>
          <cell r="F371">
            <v>1277701</v>
          </cell>
        </row>
        <row r="372">
          <cell r="B372" t="str">
            <v>06.7007</v>
          </cell>
          <cell r="C372" t="str">
            <v>R·i c¨ng d©y c¸p vÆn xo¾n 4x120 mm2 b»ng thñ c«ng</v>
          </cell>
          <cell r="D372" t="str">
            <v>Km</v>
          </cell>
          <cell r="E372">
            <v>6037</v>
          </cell>
          <cell r="F372">
            <v>1686801</v>
          </cell>
        </row>
        <row r="373">
          <cell r="C373" t="str">
            <v>( NÕu l¾p ®Æt lo¹i c¸p 2 sîi nh©n hÖ sè : 0,7 )</v>
          </cell>
        </row>
        <row r="374">
          <cell r="B374">
            <v>15</v>
          </cell>
          <cell r="C374" t="str">
            <v>C«ng t¸c l¾p ®Æt hÖ thèng dÉn ®iÖn</v>
          </cell>
        </row>
        <row r="375">
          <cell r="B375">
            <v>15.1</v>
          </cell>
          <cell r="C375" t="str">
            <v xml:space="preserve">C«ng t¸c ph¸ dì </v>
          </cell>
        </row>
        <row r="376">
          <cell r="C376" t="str">
            <v>C«ng t¸c ph¸ dì mÆt ®­êng, vØa hÌ, nÒn ®­êng b»ng thñ c«ng</v>
          </cell>
        </row>
        <row r="377">
          <cell r="B377" t="str">
            <v>07.1111</v>
          </cell>
          <cell r="C377" t="str">
            <v>NÒn g¹ch c¸c lo¹i</v>
          </cell>
          <cell r="D377" t="str">
            <v>m2</v>
          </cell>
          <cell r="F377">
            <v>2075</v>
          </cell>
        </row>
        <row r="378">
          <cell r="B378" t="str">
            <v>07.1112</v>
          </cell>
          <cell r="C378" t="str">
            <v>MÆt ®­êng ®¸ d¨m</v>
          </cell>
          <cell r="D378" t="str">
            <v>m2</v>
          </cell>
          <cell r="F378">
            <v>5334</v>
          </cell>
        </row>
        <row r="379">
          <cell r="B379" t="str">
            <v>07.1113</v>
          </cell>
          <cell r="C379" t="str">
            <v>MÆt ®­êng nhùa cã ®é dµy &lt;= 10 cm</v>
          </cell>
          <cell r="D379" t="str">
            <v>m2</v>
          </cell>
          <cell r="F379">
            <v>2964</v>
          </cell>
        </row>
        <row r="380">
          <cell r="B380" t="str">
            <v>07.1114</v>
          </cell>
          <cell r="C380" t="str">
            <v>MÆt ®­êng nhùa cã ®é dµy &gt; 10 cm</v>
          </cell>
          <cell r="D380" t="str">
            <v>m2</v>
          </cell>
          <cell r="F380">
            <v>5927</v>
          </cell>
        </row>
        <row r="381">
          <cell r="B381" t="str">
            <v>07.1115</v>
          </cell>
          <cell r="C381" t="str">
            <v>MÆt ®­êng ®¸ th©m nhËp nhùa</v>
          </cell>
          <cell r="D381" t="str">
            <v>m2</v>
          </cell>
          <cell r="F381">
            <v>8002</v>
          </cell>
        </row>
        <row r="382">
          <cell r="C382" t="str">
            <v>C«ng t¸c ph¸ dì kÕt cÊu kiÕn tróc ®­êng b»ng thñ c«ng</v>
          </cell>
        </row>
        <row r="383">
          <cell r="B383" t="str">
            <v>07.1201</v>
          </cell>
          <cell r="C383" t="str">
            <v>Ph¸ dì nÒn xÕp ®¸ héc</v>
          </cell>
          <cell r="D383" t="str">
            <v>m2</v>
          </cell>
          <cell r="F383">
            <v>88908</v>
          </cell>
        </row>
        <row r="384">
          <cell r="B384" t="str">
            <v>07.1202</v>
          </cell>
          <cell r="C384" t="str">
            <v>Ph¸ dì bª t«ng ®¸ d¨m cã cèt thÐp</v>
          </cell>
          <cell r="D384" t="str">
            <v>m2</v>
          </cell>
          <cell r="F384">
            <v>165962</v>
          </cell>
        </row>
        <row r="385">
          <cell r="B385" t="str">
            <v>07.1203</v>
          </cell>
          <cell r="C385" t="str">
            <v>Ph¸ dì bª t«ng ®¸ d¨m kh«ng cã cèt thÐp</v>
          </cell>
          <cell r="D385" t="str">
            <v>m2</v>
          </cell>
          <cell r="F385">
            <v>115580</v>
          </cell>
        </row>
        <row r="386">
          <cell r="B386" t="str">
            <v>07.1204</v>
          </cell>
          <cell r="C386" t="str">
            <v>Ph¸ dì kÕt cÊu g¹ch</v>
          </cell>
          <cell r="D386" t="str">
            <v>m2</v>
          </cell>
          <cell r="F386">
            <v>65199</v>
          </cell>
        </row>
        <row r="387">
          <cell r="B387">
            <v>15.2</v>
          </cell>
          <cell r="C387" t="str">
            <v>C«ng t¸c b¶o vÖ</v>
          </cell>
        </row>
        <row r="388">
          <cell r="C388" t="str">
            <v>B¶o vÖ ®­êng c¸p ngÇm</v>
          </cell>
        </row>
        <row r="389">
          <cell r="B389" t="str">
            <v>07.2101</v>
          </cell>
          <cell r="C389" t="str">
            <v>R¶i c¸t ®Öm</v>
          </cell>
          <cell r="D389" t="str">
            <v>m2</v>
          </cell>
          <cell r="F389">
            <v>14818</v>
          </cell>
        </row>
        <row r="390">
          <cell r="B390" t="str">
            <v>07.2102</v>
          </cell>
          <cell r="C390" t="str">
            <v>R¶i l­íi ni l«ng</v>
          </cell>
          <cell r="D390" t="str">
            <v>m2</v>
          </cell>
          <cell r="F390">
            <v>14818</v>
          </cell>
        </row>
        <row r="391">
          <cell r="B391" t="str">
            <v>07.2103</v>
          </cell>
          <cell r="C391" t="str">
            <v>R¶i l­íi thÐp</v>
          </cell>
          <cell r="D391" t="str">
            <v>m2</v>
          </cell>
          <cell r="F391">
            <v>29636</v>
          </cell>
        </row>
        <row r="392">
          <cell r="B392" t="str">
            <v>07.2104</v>
          </cell>
          <cell r="C392" t="str">
            <v>XÕp g¹ch chØ</v>
          </cell>
          <cell r="D392" t="str">
            <v>v</v>
          </cell>
          <cell r="F392">
            <v>118.544</v>
          </cell>
        </row>
        <row r="393">
          <cell r="B393" t="str">
            <v>07.2105</v>
          </cell>
          <cell r="C393" t="str">
            <v>L¾p ®Æt tÊm ®an träng l­îng &lt;= 20 Kg</v>
          </cell>
          <cell r="D393" t="str">
            <v>tÊm</v>
          </cell>
          <cell r="F393">
            <v>2075</v>
          </cell>
        </row>
        <row r="394">
          <cell r="B394" t="str">
            <v>07.2106</v>
          </cell>
          <cell r="C394" t="str">
            <v>L¾p ®Æt tÊm ®an träng l­îng &gt; 20 Kg</v>
          </cell>
          <cell r="D394" t="str">
            <v>tÊm</v>
          </cell>
          <cell r="F394">
            <v>2964</v>
          </cell>
        </row>
        <row r="395">
          <cell r="C395" t="str">
            <v>L¾p ®Æt èng thÐp b¶o vÖ c¸p</v>
          </cell>
        </row>
        <row r="396">
          <cell r="B396" t="str">
            <v>07.2201</v>
          </cell>
          <cell r="C396" t="str">
            <v xml:space="preserve">L¾p ®Æt èng thÐp, ®­êng kÝnh èng D&lt;= 25 mm </v>
          </cell>
          <cell r="D396" t="str">
            <v>m</v>
          </cell>
          <cell r="E396">
            <v>2014.27</v>
          </cell>
          <cell r="F396">
            <v>8419.14</v>
          </cell>
        </row>
        <row r="397">
          <cell r="B397" t="str">
            <v>07.2202</v>
          </cell>
          <cell r="C397" t="str">
            <v xml:space="preserve">L¾p ®Æt èng thÐp, ®­êng kÝnh èng D&lt;= 50 mm </v>
          </cell>
          <cell r="D397" t="str">
            <v>m</v>
          </cell>
          <cell r="E397">
            <v>1958.25</v>
          </cell>
          <cell r="F397">
            <v>9906.52</v>
          </cell>
        </row>
        <row r="398">
          <cell r="B398" t="str">
            <v>07.2203</v>
          </cell>
          <cell r="C398" t="str">
            <v xml:space="preserve">L¾p ®Æt èng thÐp, ®­êng kÝnh èng D&lt;= 75 mm </v>
          </cell>
          <cell r="D398" t="str">
            <v>m</v>
          </cell>
          <cell r="E398">
            <v>1958.25</v>
          </cell>
          <cell r="F398">
            <v>11456.27</v>
          </cell>
        </row>
        <row r="399">
          <cell r="B399" t="str">
            <v>07.2204</v>
          </cell>
          <cell r="C399" t="str">
            <v xml:space="preserve">L¾p ®Æt èng thÐp, ®­êng kÝnh èng D&lt;= 100 mm </v>
          </cell>
          <cell r="D399" t="str">
            <v>m</v>
          </cell>
          <cell r="E399">
            <v>1958.25</v>
          </cell>
          <cell r="F399">
            <v>13249.23</v>
          </cell>
        </row>
        <row r="400">
          <cell r="C400" t="str">
            <v>L¾p ®Æt èng b¶o vÖ c¸p qua ®­êng</v>
          </cell>
        </row>
        <row r="401">
          <cell r="B401" t="str">
            <v>07.2301</v>
          </cell>
          <cell r="C401" t="str">
            <v xml:space="preserve">L¾p ®Æt èng thÐp qua ®­êng, ®­êng kÝnh èng D&lt;=120 mm </v>
          </cell>
          <cell r="D401" t="str">
            <v>m</v>
          </cell>
          <cell r="E401">
            <v>3131.88</v>
          </cell>
          <cell r="F401">
            <v>8419.14</v>
          </cell>
        </row>
        <row r="402">
          <cell r="B402" t="str">
            <v>07.2302</v>
          </cell>
          <cell r="C402" t="str">
            <v xml:space="preserve">L¾p ®Æt èng thÐp qua ®­êng, ®­êng kÝnh èng D&lt;=220 mm </v>
          </cell>
          <cell r="D402" t="str">
            <v>m</v>
          </cell>
          <cell r="E402">
            <v>5179.33</v>
          </cell>
          <cell r="F402">
            <v>6984.77</v>
          </cell>
        </row>
        <row r="403">
          <cell r="C403" t="str">
            <v>L¾p ®Æt èng nhùa b¶o vÖ c¸p</v>
          </cell>
        </row>
        <row r="404">
          <cell r="B404" t="str">
            <v>07.2401</v>
          </cell>
          <cell r="C404" t="str">
            <v xml:space="preserve">L¾p ®Æt èng nhùa, ®­êng kÝnh èng D&lt;= 32 mm </v>
          </cell>
          <cell r="D404" t="str">
            <v>m</v>
          </cell>
          <cell r="E404">
            <v>11.4</v>
          </cell>
          <cell r="F404">
            <v>1434.37</v>
          </cell>
        </row>
        <row r="405">
          <cell r="B405" t="str">
            <v>07.2402</v>
          </cell>
          <cell r="C405" t="str">
            <v xml:space="preserve">L¾p ®Æt èng nhùa, ®­êng kÝnh èng D&lt;= 40 mm </v>
          </cell>
          <cell r="D405" t="str">
            <v>m</v>
          </cell>
          <cell r="E405">
            <v>14.7</v>
          </cell>
          <cell r="F405">
            <v>1774.26</v>
          </cell>
        </row>
        <row r="406">
          <cell r="B406" t="str">
            <v>07.2403</v>
          </cell>
          <cell r="C406" t="str">
            <v xml:space="preserve">L¾p ®Æt èng nhùa, ®­êng kÝnh èng D&lt;= 50 mm </v>
          </cell>
          <cell r="D406" t="str">
            <v>m</v>
          </cell>
          <cell r="E406">
            <v>30.18</v>
          </cell>
          <cell r="F406">
            <v>2213.92</v>
          </cell>
        </row>
        <row r="407">
          <cell r="B407" t="str">
            <v>07.2404</v>
          </cell>
          <cell r="C407" t="str">
            <v xml:space="preserve">L¾p ®Æt èng nhùa, ®­êng kÝnh èng D&lt;= 65 mm </v>
          </cell>
          <cell r="D407" t="str">
            <v>m</v>
          </cell>
          <cell r="E407">
            <v>22.14</v>
          </cell>
          <cell r="F407">
            <v>2401.0100000000002</v>
          </cell>
        </row>
        <row r="408">
          <cell r="B408" t="str">
            <v>07.2405</v>
          </cell>
          <cell r="C408" t="str">
            <v xml:space="preserve">L¾p ®Æt èng nhùa, ®­êng kÝnh èng D&lt;= 89 mm </v>
          </cell>
          <cell r="D408" t="str">
            <v>m</v>
          </cell>
          <cell r="E408">
            <v>28.74</v>
          </cell>
          <cell r="F408">
            <v>2806.38</v>
          </cell>
        </row>
        <row r="409">
          <cell r="B409" t="str">
            <v>07.2406</v>
          </cell>
          <cell r="C409" t="str">
            <v xml:space="preserve">L¾p ®Æt èng nhùa, ®­êng kÝnh èng D&lt;= 100 mm </v>
          </cell>
          <cell r="D409" t="str">
            <v>m</v>
          </cell>
          <cell r="E409">
            <v>35.340000000000003</v>
          </cell>
          <cell r="F409">
            <v>3461.2</v>
          </cell>
        </row>
        <row r="410">
          <cell r="B410" t="str">
            <v>07.2407</v>
          </cell>
          <cell r="C410" t="str">
            <v xml:space="preserve">L¾p ®Æt èng nhùa, ®­êng kÝnh èng D&gt; 100 mm </v>
          </cell>
          <cell r="D410" t="str">
            <v>m</v>
          </cell>
          <cell r="E410">
            <v>42.6</v>
          </cell>
          <cell r="F410">
            <v>3523.57</v>
          </cell>
        </row>
        <row r="411">
          <cell r="B411">
            <v>15.3</v>
          </cell>
          <cell r="C411" t="str">
            <v>L¾p ®Æt c¸p ngÇm</v>
          </cell>
        </row>
        <row r="412">
          <cell r="C412" t="str">
            <v>KÐo r·i vµ l¾p ®Æt ®­êng d©y c¸p ngÇm</v>
          </cell>
        </row>
        <row r="413">
          <cell r="B413" t="str">
            <v>07.3101</v>
          </cell>
          <cell r="C413" t="str">
            <v>KÐo d©y c¸p ngÇm träng l­îng &lt;= 1 Kg/m</v>
          </cell>
          <cell r="D413" t="str">
            <v>m</v>
          </cell>
          <cell r="E413">
            <v>384.18</v>
          </cell>
          <cell r="F413">
            <v>530.19000000000005</v>
          </cell>
        </row>
        <row r="414">
          <cell r="B414" t="str">
            <v>07.3102</v>
          </cell>
          <cell r="C414" t="str">
            <v>KÐo d©y c¸p ngÇm träng l­îng &lt;= 2 Kg/m</v>
          </cell>
          <cell r="D414" t="str">
            <v>m</v>
          </cell>
          <cell r="E414">
            <v>384.18</v>
          </cell>
          <cell r="F414">
            <v>615.29</v>
          </cell>
        </row>
        <row r="415">
          <cell r="B415" t="str">
            <v>07.3103</v>
          </cell>
          <cell r="C415" t="str">
            <v>KÐo d©y c¸p ngÇm träng l­îng &lt;= 3 Kg/m</v>
          </cell>
          <cell r="D415" t="str">
            <v>m</v>
          </cell>
          <cell r="E415">
            <v>384.18</v>
          </cell>
          <cell r="F415">
            <v>818.2</v>
          </cell>
        </row>
        <row r="416">
          <cell r="B416" t="str">
            <v>07.3104</v>
          </cell>
          <cell r="C416" t="str">
            <v>KÐo d©y c¸p ngÇm träng l­îng &lt;= 4.5 Kg/m</v>
          </cell>
          <cell r="D416" t="str">
            <v>m</v>
          </cell>
          <cell r="E416">
            <v>463.01</v>
          </cell>
          <cell r="F416">
            <v>1063.6600000000001</v>
          </cell>
        </row>
        <row r="417">
          <cell r="B417" t="str">
            <v>07.3105</v>
          </cell>
          <cell r="C417" t="str">
            <v>KÐo d©y c¸p ngÇm träng l­îng &lt;= 6 Kg/m</v>
          </cell>
          <cell r="D417" t="str">
            <v>m</v>
          </cell>
          <cell r="E417">
            <v>463.01</v>
          </cell>
          <cell r="F417">
            <v>1063.6600000000001</v>
          </cell>
        </row>
        <row r="418">
          <cell r="B418" t="str">
            <v>07.3106</v>
          </cell>
          <cell r="C418" t="str">
            <v>KÐo d©y c¸p ngÇm träng l­îng &lt;= 7.5 Kg/m</v>
          </cell>
          <cell r="D418" t="str">
            <v>m</v>
          </cell>
          <cell r="E418">
            <v>541.84</v>
          </cell>
          <cell r="F418">
            <v>1718.22</v>
          </cell>
        </row>
        <row r="419">
          <cell r="B419" t="str">
            <v>07.3107</v>
          </cell>
          <cell r="C419" t="str">
            <v>KÐo d©y c¸p ngÇm träng l­îng &lt;= 9 Kg/m</v>
          </cell>
          <cell r="D419" t="str">
            <v>m</v>
          </cell>
          <cell r="E419">
            <v>541.84</v>
          </cell>
          <cell r="F419">
            <v>2160.0500000000002</v>
          </cell>
        </row>
        <row r="420">
          <cell r="B420" t="str">
            <v>07.3108</v>
          </cell>
          <cell r="C420" t="str">
            <v>KÐo d©y c¸p ngÇm träng l­îng &lt;= 10.5 Kg/m</v>
          </cell>
          <cell r="D420" t="str">
            <v>m</v>
          </cell>
          <cell r="E420">
            <v>615.16</v>
          </cell>
          <cell r="F420">
            <v>2618.2399999999998</v>
          </cell>
        </row>
        <row r="421">
          <cell r="B421" t="str">
            <v>07.3109</v>
          </cell>
          <cell r="C421" t="str">
            <v>KÐo d©y c¸p ngÇm träng l­îng &lt;= 12 Kg/m</v>
          </cell>
          <cell r="D421" t="str">
            <v>m</v>
          </cell>
          <cell r="E421">
            <v>615.16</v>
          </cell>
          <cell r="F421">
            <v>3541.17</v>
          </cell>
        </row>
        <row r="422">
          <cell r="B422" t="str">
            <v>07.3110</v>
          </cell>
          <cell r="C422" t="str">
            <v>KÐo d©y c¸p ngÇm träng l­îng &lt;= 15 Kg/m</v>
          </cell>
          <cell r="D422" t="str">
            <v>m</v>
          </cell>
          <cell r="E422">
            <v>697.22</v>
          </cell>
          <cell r="F422">
            <v>3969.91</v>
          </cell>
        </row>
        <row r="423">
          <cell r="C423" t="str">
            <v>KÐo r·i vµ l¾p ®Æt c¸p treo trªn d©y thÐp</v>
          </cell>
        </row>
        <row r="424">
          <cell r="B424" t="str">
            <v>07.3301</v>
          </cell>
          <cell r="C424" t="str">
            <v>KÐo d©y c¸p treo trªn d©y thÐp träng l­îng &lt;= 1 Kg/m</v>
          </cell>
          <cell r="D424" t="str">
            <v>m</v>
          </cell>
          <cell r="E424">
            <v>2738.68</v>
          </cell>
          <cell r="F424">
            <v>1106.21</v>
          </cell>
        </row>
        <row r="425">
          <cell r="B425" t="str">
            <v>07.3302</v>
          </cell>
          <cell r="C425" t="str">
            <v>KÐo d©y c¸p treo trªn d©y thÐp träng l­îng &lt;= 2 Kg/m</v>
          </cell>
          <cell r="D425" t="str">
            <v>m</v>
          </cell>
          <cell r="E425">
            <v>2738.68</v>
          </cell>
          <cell r="F425">
            <v>1227.3</v>
          </cell>
        </row>
        <row r="426">
          <cell r="B426" t="str">
            <v>07.3303</v>
          </cell>
          <cell r="C426" t="str">
            <v>KÐo d©y c¸p treo trªn d©y thÐp träng l­îng &lt;= 3 Kg/m</v>
          </cell>
          <cell r="D426" t="str">
            <v>m</v>
          </cell>
          <cell r="E426">
            <v>2744.18</v>
          </cell>
          <cell r="F426">
            <v>1554.58</v>
          </cell>
        </row>
        <row r="427">
          <cell r="B427" t="str">
            <v>07.3304</v>
          </cell>
          <cell r="C427" t="str">
            <v>KÐo d©y c¸p treo trªn d©y thÐp träng l­îng &lt;= 4.5 Kg/m</v>
          </cell>
          <cell r="D427" t="str">
            <v>m</v>
          </cell>
          <cell r="E427">
            <v>2817.51</v>
          </cell>
          <cell r="F427">
            <v>2084.77</v>
          </cell>
        </row>
        <row r="428">
          <cell r="B428" t="str">
            <v>07.3305</v>
          </cell>
          <cell r="C428" t="str">
            <v>KÐo d©y c¸p treo trªn d©y thÐp träng l­îng &lt;= 6 Kg/m</v>
          </cell>
          <cell r="D428" t="str">
            <v>m</v>
          </cell>
          <cell r="E428">
            <v>2823.01</v>
          </cell>
          <cell r="F428">
            <v>2618.2399999999998</v>
          </cell>
        </row>
        <row r="429">
          <cell r="B429" t="str">
            <v>07.3306</v>
          </cell>
          <cell r="C429" t="str">
            <v>KÐo d©y c¸p treo trªn d©y thÐp träng l­îng &lt;= 7.5 Kg/m</v>
          </cell>
          <cell r="D429" t="str">
            <v>m</v>
          </cell>
          <cell r="E429">
            <v>2896.34</v>
          </cell>
          <cell r="F429">
            <v>3436.44</v>
          </cell>
        </row>
        <row r="430">
          <cell r="B430" t="str">
            <v>07.3307</v>
          </cell>
          <cell r="C430" t="str">
            <v>KÐo d©y c¸p treo trªn d©y thÐp träng l­îng &lt;= 9 Kg/m</v>
          </cell>
          <cell r="D430" t="str">
            <v>m</v>
          </cell>
          <cell r="E430">
            <v>2896.34</v>
          </cell>
          <cell r="F430">
            <v>4909.2</v>
          </cell>
        </row>
        <row r="431">
          <cell r="B431" t="str">
            <v>07.3308</v>
          </cell>
          <cell r="C431" t="str">
            <v>KÐo d©y c¸p treo trªn d©y thÐp träng l­îng &lt;= 10.5 Kg/m</v>
          </cell>
          <cell r="D431" t="str">
            <v>m</v>
          </cell>
          <cell r="E431">
            <v>2975.16</v>
          </cell>
          <cell r="F431">
            <v>5727.4</v>
          </cell>
        </row>
        <row r="432">
          <cell r="B432" t="str">
            <v>07.3309</v>
          </cell>
          <cell r="C432" t="str">
            <v>KÐo d©y c¸p treo trªn d©y thÐp träng l­îng &lt;= 12 Kg/m</v>
          </cell>
          <cell r="D432" t="str">
            <v>m</v>
          </cell>
          <cell r="E432">
            <v>2975.16</v>
          </cell>
          <cell r="F432">
            <v>6545.6</v>
          </cell>
        </row>
        <row r="433">
          <cell r="C433" t="str">
            <v xml:space="preserve">KÐo r·i vµ l¾p ®Æt c¸p trong èng b¶o vÖ </v>
          </cell>
        </row>
        <row r="434">
          <cell r="B434" t="str">
            <v>07.3401</v>
          </cell>
          <cell r="C434" t="str">
            <v>KÐo d©y c¸p ngÇm träng l­îng &lt;= 1 Kg/m</v>
          </cell>
          <cell r="D434" t="str">
            <v>m</v>
          </cell>
          <cell r="E434">
            <v>446.14</v>
          </cell>
          <cell r="F434">
            <v>860.75</v>
          </cell>
        </row>
        <row r="435">
          <cell r="B435" t="str">
            <v>07.3402</v>
          </cell>
          <cell r="C435" t="str">
            <v>KÐo d©y c¸p ngÇm träng l­îng &lt;= 2 Kg/m</v>
          </cell>
          <cell r="D435" t="str">
            <v>m</v>
          </cell>
          <cell r="E435">
            <v>446.14</v>
          </cell>
          <cell r="F435">
            <v>981.84</v>
          </cell>
        </row>
        <row r="436">
          <cell r="B436" t="str">
            <v>07.3403</v>
          </cell>
          <cell r="C436" t="str">
            <v>KÐo d©y c¸p ngÇm träng l­îng &lt;= 3 Kg/m</v>
          </cell>
          <cell r="D436" t="str">
            <v>m</v>
          </cell>
          <cell r="E436">
            <v>446.14</v>
          </cell>
          <cell r="F436">
            <v>1227.3</v>
          </cell>
        </row>
        <row r="437">
          <cell r="B437" t="str">
            <v>07.3404</v>
          </cell>
          <cell r="C437" t="str">
            <v>KÐo d©y c¸p ngÇm träng l­îng &lt;= 4.5 Kg/m</v>
          </cell>
          <cell r="D437" t="str">
            <v>m</v>
          </cell>
          <cell r="E437">
            <v>533.39</v>
          </cell>
          <cell r="F437">
            <v>1636.4</v>
          </cell>
        </row>
        <row r="438">
          <cell r="B438" t="str">
            <v>07.3405</v>
          </cell>
          <cell r="C438" t="str">
            <v>KÐo d©y c¸p ngÇm träng l­îng &lt;= 6 Kg/m</v>
          </cell>
          <cell r="D438" t="str">
            <v>m</v>
          </cell>
          <cell r="E438">
            <v>533.39</v>
          </cell>
          <cell r="F438">
            <v>2084.77</v>
          </cell>
        </row>
        <row r="439">
          <cell r="B439" t="str">
            <v>07.3406</v>
          </cell>
          <cell r="C439" t="str">
            <v>KÐo d©y c¸p ngÇm träng l­îng &lt;= 7.5 Kg/m</v>
          </cell>
          <cell r="D439" t="str">
            <v>m</v>
          </cell>
          <cell r="E439">
            <v>663.89</v>
          </cell>
          <cell r="F439">
            <v>2700.06</v>
          </cell>
        </row>
        <row r="440">
          <cell r="B440" t="str">
            <v>07.3407</v>
          </cell>
          <cell r="C440" t="str">
            <v>KÐo d©y c¸p ngÇm träng l­îng &lt;= 9 Kg/m</v>
          </cell>
          <cell r="D440" t="str">
            <v>m</v>
          </cell>
          <cell r="E440">
            <v>745.64</v>
          </cell>
          <cell r="F440">
            <v>3315.35</v>
          </cell>
        </row>
        <row r="441">
          <cell r="B441" t="str">
            <v>07.3408</v>
          </cell>
          <cell r="C441" t="str">
            <v>KÐo d©y c¸p ngÇm träng l­îng &lt;= 10.5 Kg/m</v>
          </cell>
          <cell r="D441" t="str">
            <v>m</v>
          </cell>
          <cell r="E441">
            <v>745.64</v>
          </cell>
          <cell r="F441">
            <v>4009.18</v>
          </cell>
        </row>
        <row r="442">
          <cell r="B442" t="str">
            <v>07.3409</v>
          </cell>
          <cell r="C442" t="str">
            <v>KÐo d©y c¸p ngÇm träng l­îng &lt;= 12 Kg/m</v>
          </cell>
          <cell r="D442" t="str">
            <v>m</v>
          </cell>
          <cell r="E442">
            <v>836.12</v>
          </cell>
          <cell r="F442">
            <v>4663.74</v>
          </cell>
        </row>
        <row r="443">
          <cell r="B443" t="str">
            <v>07.3410</v>
          </cell>
          <cell r="C443" t="str">
            <v>KÐo d©y c¸p ngÇm träng l­îng &lt;= 15 Kg/m</v>
          </cell>
          <cell r="D443" t="str">
            <v>m</v>
          </cell>
          <cell r="E443">
            <v>836.12</v>
          </cell>
          <cell r="F443">
            <v>5972.86</v>
          </cell>
        </row>
        <row r="444">
          <cell r="B444">
            <v>15.4</v>
          </cell>
          <cell r="C444" t="str">
            <v>Lµm ®Çu c¸p ngÇm</v>
          </cell>
        </row>
        <row r="445">
          <cell r="C445" t="str">
            <v>Lµm ®Çu c¸p ngÇm &lt; = 1 KV  3 ®Õn 4 ruét</v>
          </cell>
        </row>
        <row r="446">
          <cell r="B446" t="str">
            <v>07.4101</v>
          </cell>
          <cell r="C446" t="str">
            <v>Lµm ®Çu c¸p ngÇm &lt;= 1 KV, tiÕt diÖn &lt;= 35 mm2</v>
          </cell>
          <cell r="D446" t="str">
            <v>®Çu</v>
          </cell>
          <cell r="E446">
            <v>1890</v>
          </cell>
          <cell r="F446">
            <v>29964</v>
          </cell>
        </row>
        <row r="447">
          <cell r="B447" t="str">
            <v>07.4102</v>
          </cell>
          <cell r="C447" t="str">
            <v>Lµm ®Çu c¸p ngÇm &lt;= 1 KV, tiÕt diÖn &lt;= 70 mm2</v>
          </cell>
          <cell r="D447" t="str">
            <v>®Çu</v>
          </cell>
          <cell r="E447">
            <v>1890</v>
          </cell>
          <cell r="F447">
            <v>34657</v>
          </cell>
        </row>
        <row r="448">
          <cell r="B448" t="str">
            <v>07.4103</v>
          </cell>
          <cell r="C448" t="str">
            <v>Lµm ®Çu c¸p ngÇm &lt;= 1 KV, tiÕt diÖn &lt;= 120 mm2</v>
          </cell>
          <cell r="D448" t="str">
            <v>®Çu</v>
          </cell>
          <cell r="E448">
            <v>1890</v>
          </cell>
          <cell r="F448">
            <v>38989</v>
          </cell>
        </row>
        <row r="449">
          <cell r="B449" t="str">
            <v>07.4104</v>
          </cell>
          <cell r="C449" t="str">
            <v>Lµm ®Çu c¸p ngÇm &lt;= 1 KV, tiÕt diÖn &lt;= 185 mm2</v>
          </cell>
          <cell r="D449" t="str">
            <v>®Çu</v>
          </cell>
          <cell r="E449">
            <v>2520</v>
          </cell>
          <cell r="F449">
            <v>43321</v>
          </cell>
        </row>
        <row r="450">
          <cell r="B450" t="str">
            <v>07.4105</v>
          </cell>
          <cell r="C450" t="str">
            <v>Lµm ®Çu c¸p ngÇm &lt;= 1 KV, tiÕt diÖn &lt;= 240 mm2</v>
          </cell>
          <cell r="D450" t="str">
            <v>®Çu</v>
          </cell>
          <cell r="E450">
            <v>2520</v>
          </cell>
          <cell r="F450">
            <v>48736</v>
          </cell>
        </row>
        <row r="451">
          <cell r="B451" t="str">
            <v>07.4106</v>
          </cell>
          <cell r="C451" t="str">
            <v>Lµm ®Çu c¸p ngÇm &lt;= 1 KV, tiÕt diÖn &lt;= 300 mm2</v>
          </cell>
          <cell r="D451" t="str">
            <v>®Çu</v>
          </cell>
          <cell r="E451">
            <v>2520</v>
          </cell>
          <cell r="F451">
            <v>54874</v>
          </cell>
        </row>
        <row r="452">
          <cell r="C452" t="str">
            <v>Lµm ®Çu c¸p ngÇm 22 KV 1 pha</v>
          </cell>
        </row>
        <row r="453">
          <cell r="B453" t="str">
            <v>07.4311</v>
          </cell>
          <cell r="C453" t="str">
            <v>Lµm ®Çu c¸p ngÇm 22 KV, tiÕt diÖn &lt;= 35 mm2</v>
          </cell>
          <cell r="D453" t="str">
            <v>®Çu</v>
          </cell>
          <cell r="E453">
            <v>3780</v>
          </cell>
          <cell r="F453">
            <v>70397</v>
          </cell>
        </row>
        <row r="454">
          <cell r="B454" t="str">
            <v>07.4312</v>
          </cell>
          <cell r="C454" t="str">
            <v>Lµm ®Çu c¸p ngÇm 22 KV, tiÕt diÖn &lt;= 70 mm2</v>
          </cell>
          <cell r="D454" t="str">
            <v>®Çu</v>
          </cell>
          <cell r="E454">
            <v>3780</v>
          </cell>
          <cell r="F454">
            <v>77978</v>
          </cell>
        </row>
        <row r="455">
          <cell r="B455" t="str">
            <v>07.4313</v>
          </cell>
          <cell r="C455" t="str">
            <v>Lµm ®Çu c¸p ngÇm 22 KV, tiÕt diÖn &lt;= 120 mm2</v>
          </cell>
          <cell r="D455" t="str">
            <v>®Çu</v>
          </cell>
          <cell r="E455">
            <v>3780</v>
          </cell>
          <cell r="F455">
            <v>86281</v>
          </cell>
        </row>
        <row r="456">
          <cell r="B456" t="str">
            <v>07.4314</v>
          </cell>
          <cell r="C456" t="str">
            <v>Lµm ®Çu c¸p ngÇm 22 KV, tiÕt diÖn &lt;= 185 mm2</v>
          </cell>
          <cell r="D456" t="str">
            <v>®Çu</v>
          </cell>
          <cell r="E456">
            <v>4410</v>
          </cell>
          <cell r="F456">
            <v>94946</v>
          </cell>
        </row>
        <row r="457">
          <cell r="B457" t="str">
            <v>07.4315</v>
          </cell>
          <cell r="C457" t="str">
            <v>Lµm ®Çu c¸p ngÇm 22 KV, tiÕt diÖn &lt;= 240 mm2</v>
          </cell>
          <cell r="D457" t="str">
            <v>®Çu</v>
          </cell>
          <cell r="E457">
            <v>4410</v>
          </cell>
          <cell r="F457">
            <v>106137</v>
          </cell>
        </row>
        <row r="458">
          <cell r="B458" t="str">
            <v>07.4316</v>
          </cell>
          <cell r="C458" t="str">
            <v>Lµm ®Çu c¸p ngÇm 22 KV, tiÕt diÖn &lt;= 300 mm2</v>
          </cell>
          <cell r="D458" t="str">
            <v>®Çu</v>
          </cell>
          <cell r="E458">
            <v>4410</v>
          </cell>
          <cell r="F458">
            <v>137545</v>
          </cell>
        </row>
        <row r="459">
          <cell r="C459" t="str">
            <v>Lµm ®Çu c¸p ngÇm 35 KV 1 pha</v>
          </cell>
        </row>
        <row r="460">
          <cell r="B460" t="str">
            <v>07.4321</v>
          </cell>
          <cell r="C460" t="str">
            <v>Lµm ®Çu c¸p ngÇm 35 KV, tiÕt diÖn &lt;= 35 mm2</v>
          </cell>
          <cell r="D460" t="str">
            <v>®Çu</v>
          </cell>
          <cell r="E460">
            <v>3780</v>
          </cell>
          <cell r="F460">
            <v>91697</v>
          </cell>
        </row>
        <row r="461">
          <cell r="B461" t="str">
            <v>07.4322</v>
          </cell>
          <cell r="C461" t="str">
            <v>Lµm ®Çu c¸p ngÇm 35 KV, tiÕt diÖn &lt;= 70 mm2</v>
          </cell>
          <cell r="D461" t="str">
            <v>®Çu</v>
          </cell>
          <cell r="E461">
            <v>3780</v>
          </cell>
          <cell r="F461">
            <v>101444</v>
          </cell>
        </row>
        <row r="462">
          <cell r="B462" t="str">
            <v>07.4323</v>
          </cell>
          <cell r="C462" t="str">
            <v>Lµm ®Çu c¸p ngÇm 35 KV, tiÕt diÖn &lt;= 120 mm2</v>
          </cell>
          <cell r="D462" t="str">
            <v>®Çu</v>
          </cell>
          <cell r="E462">
            <v>3780</v>
          </cell>
          <cell r="F462">
            <v>112274</v>
          </cell>
        </row>
        <row r="463">
          <cell r="B463" t="str">
            <v>07.4324</v>
          </cell>
          <cell r="C463" t="str">
            <v>Lµm ®Çu c¸p ngÇm 35 KV, tiÕt diÖn &lt;= 185 mm2</v>
          </cell>
          <cell r="D463" t="str">
            <v>®Çu</v>
          </cell>
          <cell r="E463">
            <v>4410</v>
          </cell>
          <cell r="F463">
            <v>123104</v>
          </cell>
        </row>
        <row r="464">
          <cell r="B464" t="str">
            <v>07.4325</v>
          </cell>
          <cell r="C464" t="str">
            <v>Lµm ®Çu c¸p ngÇm 35 KV, tiÕt diÖn &lt;= 240 mm2</v>
          </cell>
          <cell r="D464" t="str">
            <v>®Çu</v>
          </cell>
          <cell r="E464">
            <v>4410</v>
          </cell>
          <cell r="F464">
            <v>137906</v>
          </cell>
        </row>
        <row r="465">
          <cell r="B465" t="str">
            <v>07.4326</v>
          </cell>
          <cell r="C465" t="str">
            <v>Lµm ®Çu c¸p ngÇm 35 KV, tiÕt diÖn &lt;= 300 mm2</v>
          </cell>
          <cell r="D465" t="str">
            <v>®Çu</v>
          </cell>
          <cell r="E465">
            <v>4410</v>
          </cell>
          <cell r="F465">
            <v>178700</v>
          </cell>
        </row>
        <row r="466">
          <cell r="B466">
            <v>15.5</v>
          </cell>
          <cell r="C466" t="str">
            <v>Hép nèi c¸p</v>
          </cell>
        </row>
        <row r="467">
          <cell r="C467" t="str">
            <v xml:space="preserve">Lµm hép nèi c¸p ngÇm &lt; = 1 KV  3 ®Õn 4 ruét; NÕu &lt; 3 ruét : NCx0.7 </v>
          </cell>
        </row>
        <row r="468">
          <cell r="B468" t="str">
            <v>07.5101</v>
          </cell>
          <cell r="C468" t="str">
            <v>Hép nèi c¸p ngÇm &lt;= 1 KV, tiÕt diÖn &lt;= 35 mm2</v>
          </cell>
          <cell r="D468" t="str">
            <v>hép</v>
          </cell>
          <cell r="E468">
            <v>4639</v>
          </cell>
          <cell r="F468">
            <v>72202</v>
          </cell>
        </row>
        <row r="469">
          <cell r="B469" t="str">
            <v>07.5102</v>
          </cell>
          <cell r="C469" t="str">
            <v>Hép nèi c¸p ngÇm &lt;= 1 KV, tiÕt diÖn &lt;= 70 mm2</v>
          </cell>
          <cell r="D469" t="str">
            <v>hép</v>
          </cell>
          <cell r="E469">
            <v>4639</v>
          </cell>
          <cell r="F469">
            <v>73646</v>
          </cell>
        </row>
        <row r="470">
          <cell r="B470" t="str">
            <v>07.5103</v>
          </cell>
          <cell r="C470" t="str">
            <v>Hép nèi c¸p ngÇm &lt;= 1 KV, tiÕt diÖn &lt;= 120 mm2</v>
          </cell>
          <cell r="D470" t="str">
            <v>hép</v>
          </cell>
          <cell r="E470">
            <v>4639</v>
          </cell>
          <cell r="F470">
            <v>81227</v>
          </cell>
        </row>
        <row r="471">
          <cell r="B471" t="str">
            <v>07.5104</v>
          </cell>
          <cell r="C471" t="str">
            <v>Hép nèi c¸p ngÇm &lt;= 1 KV, tiÕt diÖn &lt;= 185 mm2</v>
          </cell>
          <cell r="D471" t="str">
            <v>hép</v>
          </cell>
          <cell r="E471">
            <v>5870</v>
          </cell>
          <cell r="F471">
            <v>89891</v>
          </cell>
        </row>
        <row r="472">
          <cell r="B472" t="str">
            <v>07.5105</v>
          </cell>
          <cell r="C472" t="str">
            <v>Hép nèi c¸p ngÇm &lt;= 1 KV, tiÕt diÖn &lt;= 240 mm2</v>
          </cell>
          <cell r="D472" t="str">
            <v>hép</v>
          </cell>
          <cell r="E472">
            <v>5870</v>
          </cell>
          <cell r="F472">
            <v>97473</v>
          </cell>
        </row>
        <row r="473">
          <cell r="B473" t="str">
            <v>07.5106</v>
          </cell>
          <cell r="C473" t="str">
            <v>Hép nèi c¸p ngÇm &lt;= 1 KV, tiÕt diÖn &lt;= 300 mm2</v>
          </cell>
          <cell r="D473" t="str">
            <v>hép</v>
          </cell>
          <cell r="E473">
            <v>5870</v>
          </cell>
          <cell r="F473">
            <v>106137</v>
          </cell>
        </row>
        <row r="474">
          <cell r="C474" t="str">
            <v>Hép nèi c¸p ngÇm 22 KV 1 pha</v>
          </cell>
        </row>
        <row r="475">
          <cell r="B475" t="str">
            <v>07.5311</v>
          </cell>
          <cell r="C475" t="str">
            <v>Hép nèi c¸p ngÇm 22 KV, tiÕt diÖn &lt;= 35 mm2</v>
          </cell>
          <cell r="D475" t="str">
            <v>hép</v>
          </cell>
          <cell r="E475">
            <v>10309</v>
          </cell>
          <cell r="F475">
            <v>146209</v>
          </cell>
        </row>
        <row r="476">
          <cell r="B476" t="str">
            <v>07.5312</v>
          </cell>
          <cell r="C476" t="str">
            <v>Hép nèi c¸p ngÇm 22 KV, tiÕt diÖn &lt;= 70 mm2</v>
          </cell>
          <cell r="D476" t="str">
            <v>hép</v>
          </cell>
          <cell r="E476">
            <v>10309</v>
          </cell>
          <cell r="F476">
            <v>158483</v>
          </cell>
        </row>
        <row r="477">
          <cell r="B477" t="str">
            <v>07.5313</v>
          </cell>
          <cell r="C477" t="str">
            <v>Hép nèi c¸p ngÇm 22 KV, tiÕt diÖn &lt;=120 mm2</v>
          </cell>
          <cell r="D477" t="str">
            <v>hép</v>
          </cell>
          <cell r="E477">
            <v>10309</v>
          </cell>
          <cell r="F477">
            <v>176895</v>
          </cell>
        </row>
        <row r="478">
          <cell r="B478" t="str">
            <v>07.5314</v>
          </cell>
          <cell r="C478" t="str">
            <v>Hép nèi c¸p ngÇm 22 KV, tiÕt diÖn &lt;=185 mm2</v>
          </cell>
          <cell r="D478" t="str">
            <v>hép</v>
          </cell>
          <cell r="E478">
            <v>13745</v>
          </cell>
          <cell r="F478">
            <v>194945</v>
          </cell>
        </row>
        <row r="479">
          <cell r="B479" t="str">
            <v>07.5315</v>
          </cell>
          <cell r="C479" t="str">
            <v>Hép nèi c¸p ngÇm 22 KV, tiÕt diÖn &lt;= 240 mm2</v>
          </cell>
          <cell r="D479" t="str">
            <v>hép</v>
          </cell>
          <cell r="E479">
            <v>13745</v>
          </cell>
          <cell r="F479">
            <v>212996</v>
          </cell>
        </row>
        <row r="480">
          <cell r="B480" t="str">
            <v>07.5316</v>
          </cell>
          <cell r="C480" t="str">
            <v>Hép nèi c¸p ngÇm 22 KV, tiÕt diÖn &lt;= 300 mm2</v>
          </cell>
          <cell r="D480" t="str">
            <v>hép</v>
          </cell>
          <cell r="E480">
            <v>13745</v>
          </cell>
          <cell r="F480">
            <v>233934</v>
          </cell>
        </row>
        <row r="481">
          <cell r="C481" t="str">
            <v>Hép nèi c¸p ngÇm 35 KV 1 pha</v>
          </cell>
        </row>
        <row r="482">
          <cell r="B482" t="str">
            <v>07.5321</v>
          </cell>
          <cell r="C482" t="str">
            <v>Hép nèi c¸p ngÇm 35 KV, tiÕt diÖn &lt;= 35 mm2</v>
          </cell>
          <cell r="D482" t="str">
            <v>hép</v>
          </cell>
          <cell r="E482">
            <v>10309</v>
          </cell>
          <cell r="F482">
            <v>175451</v>
          </cell>
        </row>
        <row r="483">
          <cell r="B483" t="str">
            <v>07.5322</v>
          </cell>
          <cell r="C483" t="str">
            <v>Hép nèi c¸p ngÇm 35 KV, tiÕt diÖn &lt;= 70 mm2</v>
          </cell>
          <cell r="D483" t="str">
            <v>hép</v>
          </cell>
          <cell r="E483">
            <v>10309</v>
          </cell>
          <cell r="F483">
            <v>190613</v>
          </cell>
        </row>
        <row r="484">
          <cell r="B484" t="str">
            <v>07.5323</v>
          </cell>
          <cell r="C484" t="str">
            <v>Hép nèi c¸p ngÇm 35 KV, tiÕt diÖn &lt;= 120 mm2</v>
          </cell>
          <cell r="D484" t="str">
            <v>hép</v>
          </cell>
          <cell r="E484">
            <v>10309</v>
          </cell>
          <cell r="F484">
            <v>212274</v>
          </cell>
        </row>
        <row r="485">
          <cell r="B485" t="str">
            <v>07.5324</v>
          </cell>
          <cell r="C485" t="str">
            <v>Hép nèi c¸p ngÇm 35 KV, tiÕt diÖn &lt;= 185 mm2</v>
          </cell>
          <cell r="D485" t="str">
            <v>hép</v>
          </cell>
          <cell r="E485">
            <v>13745</v>
          </cell>
          <cell r="F485">
            <v>233934</v>
          </cell>
        </row>
        <row r="486">
          <cell r="B486" t="str">
            <v>07.5325</v>
          </cell>
          <cell r="C486" t="str">
            <v>Hép nèi c¸p ngÇm 35 KV, tiÕt diÖn &lt;= 240 mm2</v>
          </cell>
          <cell r="D486" t="str">
            <v>hép</v>
          </cell>
          <cell r="E486">
            <v>13745</v>
          </cell>
          <cell r="F486">
            <v>255595</v>
          </cell>
        </row>
        <row r="487">
          <cell r="B487" t="str">
            <v>07.5326</v>
          </cell>
          <cell r="C487" t="str">
            <v>Hép nèi c¸p ngÇm 35 KV, tiÕt diÖn &lt;= 300 mm2</v>
          </cell>
          <cell r="D487" t="str">
            <v>hép</v>
          </cell>
          <cell r="E487">
            <v>13745</v>
          </cell>
          <cell r="F487">
            <v>280505</v>
          </cell>
        </row>
        <row r="488">
          <cell r="B488">
            <v>15.6</v>
          </cell>
          <cell r="C488" t="str">
            <v>Ðp ®Çu cèt</v>
          </cell>
        </row>
        <row r="489">
          <cell r="B489" t="str">
            <v>07.6001</v>
          </cell>
          <cell r="C489" t="str">
            <v>Ðp ®Çu cèt, tiÕt diÖn &lt;= 35 mm2</v>
          </cell>
          <cell r="D489" t="str">
            <v>®Çu</v>
          </cell>
          <cell r="E489">
            <v>349.1</v>
          </cell>
          <cell r="F489">
            <v>3610.1</v>
          </cell>
        </row>
        <row r="490">
          <cell r="B490" t="str">
            <v>07.6002</v>
          </cell>
          <cell r="C490" t="str">
            <v>Ðp ®Çu cèt, tiÕt diÖn &lt;= 70 mm2</v>
          </cell>
          <cell r="D490" t="str">
            <v>®Çu</v>
          </cell>
          <cell r="E490">
            <v>349.1</v>
          </cell>
          <cell r="F490">
            <v>4332.1000000000004</v>
          </cell>
        </row>
        <row r="491">
          <cell r="B491" t="str">
            <v>07.6003</v>
          </cell>
          <cell r="C491" t="str">
            <v>Ðp ®Çu cèt, tiÕt diÖn &lt;= 120 mm2</v>
          </cell>
          <cell r="D491" t="str">
            <v>®Çu</v>
          </cell>
          <cell r="E491">
            <v>349.1</v>
          </cell>
          <cell r="F491">
            <v>4693.1000000000004</v>
          </cell>
        </row>
        <row r="492">
          <cell r="B492" t="str">
            <v>07.6004</v>
          </cell>
          <cell r="C492" t="str">
            <v>Ðp ®Çu cèt, tiÕt diÖn &lt;= 185 mm2</v>
          </cell>
          <cell r="D492" t="str">
            <v>®Çu</v>
          </cell>
          <cell r="E492">
            <v>523.6</v>
          </cell>
          <cell r="F492">
            <v>5054.1000000000004</v>
          </cell>
        </row>
        <row r="493">
          <cell r="B493" t="str">
            <v>07.6005</v>
          </cell>
          <cell r="C493" t="str">
            <v>Ðp ®Çu cèt, tiÕt diÖn &lt;= 240 mm2</v>
          </cell>
          <cell r="D493" t="str">
            <v>®Çu</v>
          </cell>
          <cell r="E493">
            <v>523.6</v>
          </cell>
          <cell r="F493">
            <v>5776.2</v>
          </cell>
        </row>
        <row r="494">
          <cell r="B494" t="str">
            <v>07.6006</v>
          </cell>
          <cell r="C494" t="str">
            <v>Ðp ®Çu cèt, tiÕt diÖn &lt;= 300 mm2</v>
          </cell>
          <cell r="D494" t="str">
            <v>®Çu</v>
          </cell>
          <cell r="E494">
            <v>523.6</v>
          </cell>
          <cell r="F494">
            <v>6498.2</v>
          </cell>
        </row>
        <row r="495">
          <cell r="C495" t="str">
            <v>§¬n gi¸ vËt liÖu x©y dùng</v>
          </cell>
        </row>
        <row r="496">
          <cell r="B496" t="str">
            <v>1</v>
          </cell>
          <cell r="C496" t="str">
            <v>Ciment</v>
          </cell>
          <cell r="D496" t="str">
            <v>Kg</v>
          </cell>
          <cell r="F496">
            <v>765</v>
          </cell>
        </row>
        <row r="497">
          <cell r="B497" t="str">
            <v>2</v>
          </cell>
          <cell r="C497" t="str">
            <v>C¸t vµng</v>
          </cell>
          <cell r="D497" t="str">
            <v>m3</v>
          </cell>
          <cell r="F497">
            <v>44538</v>
          </cell>
        </row>
        <row r="498">
          <cell r="B498" t="str">
            <v>3</v>
          </cell>
          <cell r="C498" t="str">
            <v>C¸t ®en</v>
          </cell>
          <cell r="D498" t="str">
            <v>m3</v>
          </cell>
          <cell r="F498">
            <v>39000</v>
          </cell>
        </row>
        <row r="499">
          <cell r="B499" t="str">
            <v>4</v>
          </cell>
          <cell r="C499" t="str">
            <v>§¸ d¨m 1x2</v>
          </cell>
          <cell r="D499" t="str">
            <v>m3</v>
          </cell>
          <cell r="F499">
            <v>138761</v>
          </cell>
        </row>
        <row r="500">
          <cell r="B500" t="str">
            <v>5</v>
          </cell>
          <cell r="C500" t="str">
            <v>§¸ d¨m 2x4</v>
          </cell>
          <cell r="D500" t="str">
            <v>m3</v>
          </cell>
          <cell r="F500">
            <v>119210</v>
          </cell>
        </row>
        <row r="501">
          <cell r="B501" t="str">
            <v>6</v>
          </cell>
          <cell r="C501" t="str">
            <v>§¸ d¨m 4x6</v>
          </cell>
          <cell r="D501" t="str">
            <v>m3</v>
          </cell>
          <cell r="F501">
            <v>95240</v>
          </cell>
        </row>
        <row r="502">
          <cell r="B502" t="str">
            <v>7</v>
          </cell>
          <cell r="C502" t="str">
            <v>Gç cèt pha</v>
          </cell>
          <cell r="D502" t="str">
            <v>m3</v>
          </cell>
          <cell r="F502">
            <v>1636360</v>
          </cell>
        </row>
        <row r="503">
          <cell r="B503" t="str">
            <v>8</v>
          </cell>
          <cell r="C503" t="str">
            <v>Gç chèng</v>
          </cell>
          <cell r="D503" t="str">
            <v>m3</v>
          </cell>
          <cell r="F503">
            <v>1500000</v>
          </cell>
        </row>
        <row r="504">
          <cell r="B504" t="str">
            <v>9</v>
          </cell>
          <cell r="C504" t="str">
            <v>Gç ®µ nÑp</v>
          </cell>
          <cell r="D504" t="str">
            <v>m3</v>
          </cell>
          <cell r="F504">
            <v>1869000</v>
          </cell>
        </row>
        <row r="505">
          <cell r="B505" t="str">
            <v>10</v>
          </cell>
          <cell r="C505" t="str">
            <v>Gç kª</v>
          </cell>
          <cell r="D505" t="str">
            <v>m3</v>
          </cell>
          <cell r="F505">
            <v>1800000</v>
          </cell>
        </row>
        <row r="506">
          <cell r="B506" t="str">
            <v>11</v>
          </cell>
          <cell r="C506" t="str">
            <v xml:space="preserve">ThÐp CT3 F6 </v>
          </cell>
          <cell r="D506" t="str">
            <v>Kg</v>
          </cell>
          <cell r="F506">
            <v>5560</v>
          </cell>
        </row>
        <row r="507">
          <cell r="B507" t="str">
            <v>12</v>
          </cell>
          <cell r="C507" t="str">
            <v xml:space="preserve">ThÐp CT3 F8 </v>
          </cell>
          <cell r="D507" t="str">
            <v>Kg</v>
          </cell>
          <cell r="F507">
            <v>5560</v>
          </cell>
        </row>
        <row r="508">
          <cell r="B508" t="str">
            <v>13</v>
          </cell>
          <cell r="C508" t="str">
            <v xml:space="preserve">ThÐp CT3 F10 </v>
          </cell>
          <cell r="D508" t="str">
            <v>Kg</v>
          </cell>
          <cell r="F508">
            <v>5560</v>
          </cell>
        </row>
        <row r="509">
          <cell r="B509" t="str">
            <v>14</v>
          </cell>
          <cell r="C509" t="str">
            <v xml:space="preserve">ThÐp CT3 F12 </v>
          </cell>
          <cell r="D509" t="str">
            <v>Kg</v>
          </cell>
          <cell r="F509">
            <v>5560</v>
          </cell>
        </row>
        <row r="510">
          <cell r="B510" t="str">
            <v>15</v>
          </cell>
          <cell r="C510" t="str">
            <v>ThÐp CT3 F14</v>
          </cell>
          <cell r="D510" t="str">
            <v>Kg</v>
          </cell>
          <cell r="F510">
            <v>5560</v>
          </cell>
        </row>
        <row r="511">
          <cell r="B511" t="str">
            <v>16</v>
          </cell>
          <cell r="C511" t="str">
            <v>ThÐp h×nh</v>
          </cell>
          <cell r="D511" t="str">
            <v>Kg</v>
          </cell>
          <cell r="F511">
            <v>6350</v>
          </cell>
        </row>
        <row r="512">
          <cell r="B512" t="str">
            <v>17</v>
          </cell>
          <cell r="C512" t="str">
            <v>ThÐp dÑt</v>
          </cell>
          <cell r="D512" t="str">
            <v>Kg</v>
          </cell>
          <cell r="F512">
            <v>4800</v>
          </cell>
        </row>
      </sheetData>
      <sheetData sheetId="4" refreshError="1">
        <row r="6">
          <cell r="B6" t="str">
            <v>1</v>
          </cell>
          <cell r="C6" t="str">
            <v>L¾p ®Æt tr¹m biÕn ¸p</v>
          </cell>
        </row>
        <row r="7">
          <cell r="B7">
            <v>1.1000000000000001</v>
          </cell>
          <cell r="C7" t="str">
            <v>C«ng t¸c l¾p ®Æt MBA trung gian</v>
          </cell>
        </row>
        <row r="8">
          <cell r="B8" t="str">
            <v>01.1131</v>
          </cell>
          <cell r="C8" t="str">
            <v>L¾p MBA trung gian 35/22 KV &lt;= 1000 KVA</v>
          </cell>
          <cell r="D8" t="str">
            <v>m¸y</v>
          </cell>
          <cell r="E8">
            <v>165673</v>
          </cell>
          <cell r="F8">
            <v>527977</v>
          </cell>
          <cell r="G8">
            <v>342794</v>
          </cell>
        </row>
        <row r="9">
          <cell r="B9" t="str">
            <v>01.1132</v>
          </cell>
          <cell r="C9" t="str">
            <v>L¾p MBA trung gian 35/22 KV &lt;= 1800 KVA</v>
          </cell>
          <cell r="D9" t="str">
            <v>m¸y</v>
          </cell>
          <cell r="E9">
            <v>172409</v>
          </cell>
          <cell r="F9">
            <v>623353</v>
          </cell>
          <cell r="G9">
            <v>350420</v>
          </cell>
        </row>
        <row r="10">
          <cell r="B10" t="str">
            <v>01.1133</v>
          </cell>
          <cell r="C10" t="str">
            <v>L¾p MBA trung gian 35/22 KV &lt;= 3200 KVA</v>
          </cell>
          <cell r="D10" t="str">
            <v>m¸y</v>
          </cell>
          <cell r="E10">
            <v>311763</v>
          </cell>
          <cell r="F10">
            <v>749386</v>
          </cell>
          <cell r="G10">
            <v>401598</v>
          </cell>
        </row>
        <row r="11">
          <cell r="B11" t="str">
            <v>01.1134</v>
          </cell>
          <cell r="C11" t="str">
            <v>L¾p MBA trung gian 35/22 KV &lt;= 5600 KVA</v>
          </cell>
          <cell r="D11" t="str">
            <v>m¸y</v>
          </cell>
          <cell r="E11">
            <v>312772</v>
          </cell>
          <cell r="F11">
            <v>919701</v>
          </cell>
          <cell r="G11">
            <v>487698</v>
          </cell>
        </row>
        <row r="12">
          <cell r="B12" t="str">
            <v>1.2</v>
          </cell>
          <cell r="C12" t="str">
            <v>C«ng t¸c l¾p ®Æt MBA ph©n phèi 3 pha 35(22)/0,4 kV</v>
          </cell>
        </row>
        <row r="13">
          <cell r="B13" t="str">
            <v>01.1141</v>
          </cell>
          <cell r="C13" t="str">
            <v>L¾p MBA ph©n phèi lo¹i  &lt;= 30 KVA</v>
          </cell>
          <cell r="D13" t="str">
            <v>m¸y</v>
          </cell>
          <cell r="E13">
            <v>522745</v>
          </cell>
          <cell r="F13">
            <v>104914</v>
          </cell>
          <cell r="G13">
            <v>122884</v>
          </cell>
        </row>
        <row r="14">
          <cell r="B14" t="str">
            <v>01.1142</v>
          </cell>
          <cell r="C14" t="str">
            <v>L¾p MBA ph©n phèi lo¹i  &lt;= 50 KVA</v>
          </cell>
          <cell r="D14" t="str">
            <v>m¸y</v>
          </cell>
          <cell r="E14">
            <v>525012</v>
          </cell>
          <cell r="F14">
            <v>118199</v>
          </cell>
          <cell r="G14">
            <v>122884</v>
          </cell>
        </row>
        <row r="15">
          <cell r="B15" t="str">
            <v>01.1143</v>
          </cell>
          <cell r="C15" t="str">
            <v>L¾p MBA ph©n phèi lo¹i  &lt;= 100 KVA</v>
          </cell>
          <cell r="D15" t="str">
            <v>m¸y</v>
          </cell>
          <cell r="E15">
            <v>526987</v>
          </cell>
          <cell r="F15">
            <v>144427</v>
          </cell>
          <cell r="G15">
            <v>122884</v>
          </cell>
        </row>
        <row r="16">
          <cell r="B16" t="str">
            <v>01.1144</v>
          </cell>
          <cell r="C16" t="str">
            <v>L¾p MBA ph©n phèi lo¹i  &lt;= 180 KVA</v>
          </cell>
          <cell r="D16" t="str">
            <v>m¸y</v>
          </cell>
          <cell r="E16">
            <v>526987</v>
          </cell>
          <cell r="F16">
            <v>169293</v>
          </cell>
          <cell r="G16">
            <v>122884</v>
          </cell>
        </row>
        <row r="17">
          <cell r="B17" t="str">
            <v>01.1145</v>
          </cell>
          <cell r="C17" t="str">
            <v>L¾p MBA ph©n phèi lo¹i  &lt;= 320 KVA</v>
          </cell>
          <cell r="D17" t="str">
            <v>m¸y</v>
          </cell>
          <cell r="E17">
            <v>526987</v>
          </cell>
          <cell r="F17">
            <v>197906</v>
          </cell>
          <cell r="G17">
            <v>145703</v>
          </cell>
        </row>
        <row r="18">
          <cell r="B18" t="str">
            <v>01.1146</v>
          </cell>
          <cell r="C18" t="str">
            <v>L¾p MBA ph©n phèi lo¹i  &lt;= 560 KVA</v>
          </cell>
          <cell r="D18" t="str">
            <v>m¸y</v>
          </cell>
          <cell r="E18">
            <v>526987</v>
          </cell>
          <cell r="F18">
            <v>236057</v>
          </cell>
          <cell r="G18">
            <v>145703</v>
          </cell>
        </row>
        <row r="19">
          <cell r="B19" t="str">
            <v>01.1147</v>
          </cell>
          <cell r="C19" t="str">
            <v>L¾p MBA ph©n phèi lo¹i  &gt; 750 KVA</v>
          </cell>
          <cell r="D19" t="str">
            <v>m¸y</v>
          </cell>
          <cell r="E19">
            <v>526987</v>
          </cell>
          <cell r="F19">
            <v>274207</v>
          </cell>
          <cell r="G19">
            <v>165261</v>
          </cell>
        </row>
        <row r="20">
          <cell r="B20" t="str">
            <v>1.3</v>
          </cell>
          <cell r="C20" t="str">
            <v>C«ng t¸c l¾p ®Æt MBA ph©n phèi 3 pha 15(10)(6)/0,4 kV</v>
          </cell>
        </row>
        <row r="21">
          <cell r="B21" t="str">
            <v>01.1151</v>
          </cell>
          <cell r="C21" t="str">
            <v>L¾p MBA ph©n phèi lo¹i  &lt;= 30 KVA</v>
          </cell>
          <cell r="D21" t="str">
            <v>m¸y</v>
          </cell>
          <cell r="E21">
            <v>518614</v>
          </cell>
          <cell r="F21">
            <v>95376</v>
          </cell>
          <cell r="G21">
            <v>122884</v>
          </cell>
        </row>
        <row r="22">
          <cell r="B22" t="str">
            <v>01.1152</v>
          </cell>
          <cell r="C22" t="str">
            <v>L¾p MBA ph©n phèi lo¹i  &lt;= 50 KVA</v>
          </cell>
          <cell r="D22" t="str">
            <v>m¸y</v>
          </cell>
          <cell r="E22">
            <v>520881</v>
          </cell>
          <cell r="F22">
            <v>107298</v>
          </cell>
          <cell r="G22">
            <v>122884</v>
          </cell>
        </row>
        <row r="23">
          <cell r="B23" t="str">
            <v>01.1153</v>
          </cell>
          <cell r="C23" t="str">
            <v>L¾p MBA ph©n phèi lo¹i  &lt;= 100 KVA</v>
          </cell>
          <cell r="D23" t="str">
            <v>m¸y</v>
          </cell>
          <cell r="E23">
            <v>522856</v>
          </cell>
          <cell r="F23">
            <v>131143</v>
          </cell>
          <cell r="G23">
            <v>122884</v>
          </cell>
        </row>
        <row r="24">
          <cell r="B24" t="str">
            <v>01.1154</v>
          </cell>
          <cell r="C24" t="str">
            <v>L¾p MBA ph©n phèi lo¹i  &lt;= 180 KVA</v>
          </cell>
          <cell r="D24" t="str">
            <v>m¸y</v>
          </cell>
          <cell r="E24">
            <v>522856</v>
          </cell>
          <cell r="F24">
            <v>154987</v>
          </cell>
          <cell r="G24">
            <v>122884</v>
          </cell>
        </row>
        <row r="25">
          <cell r="B25" t="str">
            <v>01.1155</v>
          </cell>
          <cell r="C25" t="str">
            <v>L¾p MBA ph©n phèi lo¹i  &lt;= 320 KVA</v>
          </cell>
          <cell r="D25" t="str">
            <v>m¸y</v>
          </cell>
          <cell r="E25">
            <v>522856</v>
          </cell>
          <cell r="F25">
            <v>181215</v>
          </cell>
          <cell r="G25">
            <v>145703</v>
          </cell>
        </row>
        <row r="26">
          <cell r="B26" t="str">
            <v>01.1156</v>
          </cell>
          <cell r="C26" t="str">
            <v>L¾p MBA ph©n phèi lo¹i  &lt;= 560 KVA</v>
          </cell>
          <cell r="D26" t="str">
            <v>m¸y</v>
          </cell>
          <cell r="E26">
            <v>522856</v>
          </cell>
          <cell r="F26">
            <v>214597</v>
          </cell>
          <cell r="G26">
            <v>145703</v>
          </cell>
        </row>
        <row r="27">
          <cell r="B27" t="str">
            <v>01.1157</v>
          </cell>
          <cell r="C27" t="str">
            <v>L¾p MBA ph©n phèi lo¹i  &gt; 750 KVA</v>
          </cell>
          <cell r="D27" t="str">
            <v>m¸y</v>
          </cell>
          <cell r="E27">
            <v>522856</v>
          </cell>
          <cell r="F27">
            <v>250363</v>
          </cell>
          <cell r="G27">
            <v>165261</v>
          </cell>
        </row>
        <row r="28">
          <cell r="B28" t="str">
            <v>1.4</v>
          </cell>
          <cell r="C28" t="str">
            <v>C«ng t¸c l¾p ®Æt MBA ph©n phèi 1 pha 15(10)(6)/0,24 kV</v>
          </cell>
        </row>
        <row r="29">
          <cell r="B29" t="str">
            <v>01.1161</v>
          </cell>
          <cell r="C29" t="str">
            <v>L¾p MBA ph©n phèi lo¹i  &lt; 30 KVA</v>
          </cell>
          <cell r="D29" t="str">
            <v>m¸y</v>
          </cell>
          <cell r="E29">
            <v>517186.05</v>
          </cell>
          <cell r="F29">
            <v>77663.64</v>
          </cell>
          <cell r="G29">
            <v>103819.06</v>
          </cell>
        </row>
        <row r="30">
          <cell r="B30" t="str">
            <v>01.1162</v>
          </cell>
          <cell r="C30" t="str">
            <v>L¾p MBA ph©n phèi lo¹i  &lt; 50 KVA</v>
          </cell>
          <cell r="D30" t="str">
            <v>m¸y</v>
          </cell>
          <cell r="E30">
            <v>519453</v>
          </cell>
          <cell r="F30">
            <v>89586</v>
          </cell>
          <cell r="G30">
            <v>103819</v>
          </cell>
        </row>
        <row r="31">
          <cell r="B31" t="str">
            <v>01.1163</v>
          </cell>
          <cell r="C31" t="str">
            <v>L¾p MBA ph©n phèi lo¹i  &lt; 75 KVA</v>
          </cell>
          <cell r="D31" t="str">
            <v>m¸y</v>
          </cell>
          <cell r="E31">
            <v>521428</v>
          </cell>
          <cell r="F31">
            <v>119221</v>
          </cell>
          <cell r="G31">
            <v>103819</v>
          </cell>
        </row>
        <row r="32">
          <cell r="B32" t="str">
            <v>01.1164</v>
          </cell>
          <cell r="C32" t="str">
            <v>L¾p MBA ph©n phèi lo¹i  &lt; 100 KVA</v>
          </cell>
          <cell r="D32" t="str">
            <v>m¸y</v>
          </cell>
          <cell r="E32">
            <v>521428</v>
          </cell>
          <cell r="F32">
            <v>126714</v>
          </cell>
          <cell r="G32">
            <v>103819</v>
          </cell>
        </row>
        <row r="33">
          <cell r="B33" t="str">
            <v>01.1165</v>
          </cell>
          <cell r="C33" t="str">
            <v>L¾p MBA ph©n phèi lo¹i  &lt; 150 KVA</v>
          </cell>
          <cell r="D33" t="str">
            <v>m¸y</v>
          </cell>
          <cell r="E33">
            <v>521428</v>
          </cell>
          <cell r="F33">
            <v>138296</v>
          </cell>
          <cell r="G33">
            <v>103819</v>
          </cell>
        </row>
        <row r="34">
          <cell r="B34">
            <v>2</v>
          </cell>
          <cell r="C34" t="str">
            <v>C«ng t¸c l¾p ®Æt m¸y biÕn ®iÖn ¸p , m¸y biÕn dßng ®iÖn, m¸y c¾t</v>
          </cell>
        </row>
        <row r="35">
          <cell r="B35">
            <v>2.1</v>
          </cell>
          <cell r="C35" t="str">
            <v>C«ng t¸c l¾p ®Æt m¸y biÕn ®iÖn ¸p , m¸y biÕn dßng ®iÖn</v>
          </cell>
        </row>
        <row r="36">
          <cell r="B36" t="str">
            <v>02.1114</v>
          </cell>
          <cell r="C36" t="str">
            <v>L¾p m¸y biÕn ®iÖn ¸p 1 pha ( 1 bé 1 pha ) &lt; 35 KV</v>
          </cell>
          <cell r="D36" t="str">
            <v>Bé</v>
          </cell>
          <cell r="E36">
            <v>26326</v>
          </cell>
          <cell r="F36">
            <v>92703</v>
          </cell>
          <cell r="G36">
            <v>84261</v>
          </cell>
        </row>
        <row r="37">
          <cell r="B37" t="str">
            <v>02.1115</v>
          </cell>
          <cell r="C37" t="str">
            <v>L¾p m¸y biÕn ®iÖn ¸p 1 pha ( 1 bé 1 pha ) &lt; 10 KV</v>
          </cell>
          <cell r="D37" t="str">
            <v>Bé</v>
          </cell>
          <cell r="E37">
            <v>11016</v>
          </cell>
          <cell r="F37">
            <v>74162</v>
          </cell>
          <cell r="G37">
            <v>74208</v>
          </cell>
        </row>
        <row r="38">
          <cell r="B38" t="str">
            <v>02.1116</v>
          </cell>
          <cell r="C38" t="str">
            <v>L¾p m¸y biÕn ®iÖn ¸p 3 pha ( 1 bé 3 pha ) &lt; 35 KV</v>
          </cell>
          <cell r="D38" t="str">
            <v>Bé</v>
          </cell>
          <cell r="E38">
            <v>63184</v>
          </cell>
          <cell r="F38">
            <v>222487</v>
          </cell>
          <cell r="G38">
            <v>192446</v>
          </cell>
        </row>
        <row r="39">
          <cell r="B39" t="str">
            <v>02.1117</v>
          </cell>
          <cell r="C39" t="str">
            <v>L¾p m¸y biÕn ®iÖn ¸p 3 pha ( 1 bé 3 pha ) &lt; 10 KV</v>
          </cell>
          <cell r="D39" t="str">
            <v>Bé</v>
          </cell>
          <cell r="E39">
            <v>26438</v>
          </cell>
          <cell r="F39">
            <v>177990</v>
          </cell>
          <cell r="G39">
            <v>169568</v>
          </cell>
        </row>
        <row r="40">
          <cell r="B40" t="str">
            <v>02.1124</v>
          </cell>
          <cell r="C40" t="str">
            <v>L¾p m¸y biÕn dßng ®iÖn &lt; 35 KV</v>
          </cell>
          <cell r="D40" t="str">
            <v>Bé</v>
          </cell>
          <cell r="E40">
            <v>26326</v>
          </cell>
          <cell r="F40">
            <v>92703</v>
          </cell>
          <cell r="G40">
            <v>84261</v>
          </cell>
        </row>
        <row r="41">
          <cell r="B41" t="str">
            <v>02.1125</v>
          </cell>
          <cell r="C41" t="str">
            <v>L¾p m¸y biÕn dßng ®iÖn &lt; 10 KV</v>
          </cell>
          <cell r="D41" t="str">
            <v>Bé</v>
          </cell>
          <cell r="E41">
            <v>11016</v>
          </cell>
          <cell r="F41">
            <v>74162</v>
          </cell>
          <cell r="G41">
            <v>74728</v>
          </cell>
        </row>
        <row r="42">
          <cell r="B42">
            <v>2.2000000000000002</v>
          </cell>
          <cell r="C42" t="str">
            <v>C«ng t¸c l¾p ®Æt m¸y c¾t dÇu ngoµi trêi</v>
          </cell>
        </row>
        <row r="43">
          <cell r="B43" t="str">
            <v>02.2113</v>
          </cell>
          <cell r="C43" t="str">
            <v>L¾p ®Æt m¸y c¾t lo¹i &lt; 35 KV Ýt dÇu, ngoµi trêi</v>
          </cell>
          <cell r="D43" t="str">
            <v>m¸y</v>
          </cell>
          <cell r="E43">
            <v>127899</v>
          </cell>
          <cell r="F43">
            <v>389680.80000000005</v>
          </cell>
          <cell r="G43">
            <v>178054</v>
          </cell>
        </row>
        <row r="44">
          <cell r="B44">
            <v>2.2999999999999998</v>
          </cell>
          <cell r="C44" t="str">
            <v>C«ng t¸c l¾p ®Æt m¸y c¾t khÝ SF6</v>
          </cell>
        </row>
        <row r="45">
          <cell r="B45" t="str">
            <v>02.2124</v>
          </cell>
          <cell r="C45" t="str">
            <v>L¾p ®Æt m¸y c¾t lo¹i &lt; 35 KV dïng khÝ SF6</v>
          </cell>
          <cell r="D45" t="str">
            <v>m¸y</v>
          </cell>
          <cell r="E45">
            <v>127899</v>
          </cell>
          <cell r="F45">
            <v>340971</v>
          </cell>
          <cell r="G45">
            <v>112858</v>
          </cell>
        </row>
        <row r="46">
          <cell r="B46">
            <v>3</v>
          </cell>
          <cell r="C46" t="str">
            <v>C«ng t¸c l¾p ®Æt dao c¸ch ly</v>
          </cell>
        </row>
        <row r="47">
          <cell r="B47" t="str">
            <v>02.3104</v>
          </cell>
          <cell r="C47" t="str">
            <v>L¾p ®Æt dao c¸ch ly 1 pha ngoµi trêi ( kh«ng tiÕp ®Êt ) &lt; 35 KV</v>
          </cell>
          <cell r="D47" t="str">
            <v>Bé</v>
          </cell>
          <cell r="E47">
            <v>17163</v>
          </cell>
          <cell r="F47">
            <v>77664</v>
          </cell>
          <cell r="G47">
            <v>69747</v>
          </cell>
        </row>
        <row r="48">
          <cell r="B48" t="str">
            <v>02.3105</v>
          </cell>
          <cell r="C48" t="str">
            <v>L¾p ®Æt dao c¸ch ly 1 pha ngoµi trêi ( kh«ng tiÕp ®Êt ) &lt; 10 KV</v>
          </cell>
          <cell r="D48" t="str">
            <v>Bé</v>
          </cell>
          <cell r="E48">
            <v>14436</v>
          </cell>
          <cell r="F48">
            <v>64720</v>
          </cell>
          <cell r="G48">
            <v>29456</v>
          </cell>
        </row>
        <row r="49">
          <cell r="B49" t="str">
            <v>02.3109</v>
          </cell>
          <cell r="C49" t="str">
            <v>L¾p ®Æt dao c¸ch ly 1 pha ngoµi trêi ( tiÕp ®Êt 1 ®Çu ) &lt; 35 KV</v>
          </cell>
          <cell r="D49" t="str">
            <v>Bé</v>
          </cell>
          <cell r="E49">
            <v>17163</v>
          </cell>
          <cell r="F49">
            <v>145790</v>
          </cell>
          <cell r="G49">
            <v>69747</v>
          </cell>
        </row>
        <row r="50">
          <cell r="B50" t="str">
            <v>02.3110</v>
          </cell>
          <cell r="C50" t="str">
            <v>L¾p ®Æt dao c¸ch ly 1 pha ngoµi trêi ( tiÕp ®Êt 1 ®Çu ) &lt; 10 KV</v>
          </cell>
          <cell r="D50" t="str">
            <v>Bé</v>
          </cell>
          <cell r="E50">
            <v>14436</v>
          </cell>
          <cell r="F50">
            <v>119221</v>
          </cell>
          <cell r="G50">
            <v>29456</v>
          </cell>
        </row>
        <row r="51">
          <cell r="B51" t="str">
            <v>02.3114</v>
          </cell>
          <cell r="C51" t="str">
            <v>L¾p ®Æt dao c¸ch ly 1 pha ngoµi trêi ( tiÕp ®Êt 2 ®Çu ) &lt; 35 KV</v>
          </cell>
          <cell r="D51" t="str">
            <v>Bé</v>
          </cell>
          <cell r="E51">
            <v>17163</v>
          </cell>
          <cell r="F51">
            <v>175084</v>
          </cell>
          <cell r="G51">
            <v>69747</v>
          </cell>
        </row>
        <row r="52">
          <cell r="B52" t="str">
            <v>02.3115</v>
          </cell>
          <cell r="C52" t="str">
            <v>L¾p ®Æt dao c¸ch ly 1 pha ngoµi trêi ( tiÕp ®Êt 2 ®Çu ) &lt; 10 KV</v>
          </cell>
          <cell r="D52" t="str">
            <v>Bé</v>
          </cell>
          <cell r="E52">
            <v>14436</v>
          </cell>
          <cell r="F52">
            <v>143065</v>
          </cell>
          <cell r="G52">
            <v>29456</v>
          </cell>
        </row>
        <row r="53">
          <cell r="B53" t="str">
            <v>02.3203</v>
          </cell>
          <cell r="C53" t="str">
            <v>L¾p ®Æt dao c¸ch ly 3 pha ngoµi trêi ( kh«ng tiÕp ®Êt ) &lt; 35 KV</v>
          </cell>
          <cell r="D53" t="str">
            <v>Bé</v>
          </cell>
          <cell r="E53">
            <v>50393</v>
          </cell>
          <cell r="F53">
            <v>165327</v>
          </cell>
          <cell r="G53">
            <v>113965</v>
          </cell>
        </row>
        <row r="54">
          <cell r="B54" t="str">
            <v>02.3204</v>
          </cell>
          <cell r="C54" t="str">
            <v>L¾p ®Æt dao c¸ch ly 3 pha ngoµi trêi ( kh«ng tiÕp ®Êt ) &lt; 10 KV</v>
          </cell>
          <cell r="D54" t="str">
            <v>Bé</v>
          </cell>
          <cell r="E54">
            <v>46466</v>
          </cell>
          <cell r="F54">
            <v>129439</v>
          </cell>
          <cell r="G54">
            <v>23565</v>
          </cell>
        </row>
        <row r="55">
          <cell r="B55" t="str">
            <v>02.3207</v>
          </cell>
          <cell r="C55" t="str">
            <v>L¾p ®Æt dao c¸ch ly 3 pha ngoµi trêi ( tiÕp ®Êt 1 ®Çu ) &lt; 35 KV</v>
          </cell>
          <cell r="D55" t="str">
            <v>Bé</v>
          </cell>
          <cell r="E55">
            <v>50393</v>
          </cell>
          <cell r="F55">
            <v>291579</v>
          </cell>
          <cell r="G55">
            <v>113965</v>
          </cell>
        </row>
        <row r="56">
          <cell r="B56" t="str">
            <v>02.3208</v>
          </cell>
          <cell r="C56" t="str">
            <v>L¾p ®Æt dao c¸ch ly 3 pha ngoµi trêi ( tiÕp ®Êt 1 ®Çu ) &lt; 10 KV</v>
          </cell>
          <cell r="D56" t="str">
            <v>Bé</v>
          </cell>
          <cell r="E56">
            <v>46466</v>
          </cell>
          <cell r="F56">
            <v>238441</v>
          </cell>
          <cell r="G56">
            <v>23565</v>
          </cell>
        </row>
        <row r="57">
          <cell r="B57" t="str">
            <v>02.3211</v>
          </cell>
          <cell r="C57" t="str">
            <v>L¾p ®Æt dao c¸ch ly 3 pha ngoµi trêi ( tiÕp ®Êt 2 ®Çu ) &lt; 35 KV</v>
          </cell>
          <cell r="D57" t="str">
            <v>Bé</v>
          </cell>
          <cell r="E57">
            <v>50393</v>
          </cell>
          <cell r="F57">
            <v>344718</v>
          </cell>
          <cell r="G57">
            <v>113965</v>
          </cell>
        </row>
        <row r="58">
          <cell r="B58" t="str">
            <v>02.3212</v>
          </cell>
          <cell r="C58" t="str">
            <v>L¾p ®Æt dao c¸ch ly 3 pha ngoµi trêi ( tiÕp ®Êt 2 ®Çu ) &lt; 10 KV</v>
          </cell>
          <cell r="D58" t="str">
            <v>Bé</v>
          </cell>
          <cell r="E58">
            <v>46466</v>
          </cell>
          <cell r="F58">
            <v>286129</v>
          </cell>
          <cell r="G58">
            <v>23565</v>
          </cell>
        </row>
        <row r="59">
          <cell r="B59" t="str">
            <v>4</v>
          </cell>
          <cell r="C59" t="str">
            <v>C«ng t¸c l¾p ®Æt cÇu dao h¹ thÕ c¸c lo¹i</v>
          </cell>
        </row>
        <row r="60">
          <cell r="B60" t="str">
            <v>02.3401</v>
          </cell>
          <cell r="C60" t="str">
            <v>L¾p ®Æt cÇu dao &lt; = 100 A</v>
          </cell>
          <cell r="D60" t="str">
            <v>Bé</v>
          </cell>
          <cell r="E60">
            <v>17654</v>
          </cell>
          <cell r="F60">
            <v>15451</v>
          </cell>
        </row>
        <row r="61">
          <cell r="B61" t="str">
            <v>02.3402</v>
          </cell>
          <cell r="C61" t="str">
            <v>L¾p ®Æt cÇu dao &lt; = 200 A</v>
          </cell>
          <cell r="D61" t="str">
            <v>Bé</v>
          </cell>
          <cell r="E61">
            <v>17654</v>
          </cell>
          <cell r="F61">
            <v>21631</v>
          </cell>
        </row>
        <row r="62">
          <cell r="B62" t="str">
            <v>02.3403</v>
          </cell>
          <cell r="C62" t="str">
            <v>L¾p ®Æt cÇu dao &lt; = 400 A</v>
          </cell>
          <cell r="D62" t="str">
            <v>Bé</v>
          </cell>
          <cell r="E62">
            <v>18204</v>
          </cell>
          <cell r="F62">
            <v>30901</v>
          </cell>
        </row>
        <row r="63">
          <cell r="B63" t="str">
            <v>02.3404</v>
          </cell>
          <cell r="C63" t="str">
            <v>L¾p ®Æt cÇu dao &lt; = 600 A</v>
          </cell>
          <cell r="D63" t="str">
            <v>Bé</v>
          </cell>
          <cell r="E63">
            <v>18204</v>
          </cell>
          <cell r="F63">
            <v>37081</v>
          </cell>
        </row>
        <row r="64">
          <cell r="B64" t="str">
            <v>02.3405</v>
          </cell>
          <cell r="C64" t="str">
            <v>L¾p ®Æt cÇu dao &gt; 600 A</v>
          </cell>
          <cell r="D64" t="str">
            <v>Bé</v>
          </cell>
          <cell r="E64">
            <v>18204</v>
          </cell>
          <cell r="F64">
            <v>43261</v>
          </cell>
        </row>
        <row r="65">
          <cell r="B65" t="str">
            <v>5</v>
          </cell>
          <cell r="C65" t="str">
            <v>C«ng t¸c l¾p ®Æt cÇu ch× tù r¬i, ®iÖn trë phô</v>
          </cell>
        </row>
        <row r="66">
          <cell r="B66" t="str">
            <v>02.3503</v>
          </cell>
          <cell r="C66" t="str">
            <v xml:space="preserve">L¾p ®Æt ®iÖn trë phô c¸c lo¹i  </v>
          </cell>
          <cell r="D66" t="str">
            <v>Bé</v>
          </cell>
          <cell r="E66">
            <v>34316</v>
          </cell>
          <cell r="F66">
            <v>111244</v>
          </cell>
        </row>
        <row r="67">
          <cell r="B67" t="str">
            <v>02.3504</v>
          </cell>
          <cell r="C67" t="str">
            <v>L¾p ®Æt cÇu ch× tù r¬i  &lt;= 15 KV</v>
          </cell>
          <cell r="D67" t="str">
            <v>Bé</v>
          </cell>
          <cell r="E67">
            <v>34316</v>
          </cell>
          <cell r="F67">
            <v>55622</v>
          </cell>
        </row>
        <row r="68">
          <cell r="B68" t="str">
            <v>02.3505</v>
          </cell>
          <cell r="C68" t="str">
            <v>L¾p ®Æt cÇu ch× tù r¬i  &lt;= 35 KV</v>
          </cell>
          <cell r="D68" t="str">
            <v>Bé</v>
          </cell>
          <cell r="E68">
            <v>34316</v>
          </cell>
          <cell r="F68">
            <v>74162</v>
          </cell>
        </row>
        <row r="69">
          <cell r="B69">
            <v>6</v>
          </cell>
          <cell r="C69" t="str">
            <v>C«ng t¸c l¾p ®Æt chèng sÐt van</v>
          </cell>
        </row>
        <row r="70">
          <cell r="B70" t="str">
            <v>02.5114</v>
          </cell>
          <cell r="C70" t="str">
            <v>L¾p ®Æt thiÕt bÞ chèng sÐt &lt; 35 KV</v>
          </cell>
          <cell r="D70" t="str">
            <v>Bé</v>
          </cell>
          <cell r="E70">
            <v>27174</v>
          </cell>
          <cell r="F70">
            <v>77253</v>
          </cell>
        </row>
        <row r="71">
          <cell r="B71" t="str">
            <v>02.5115</v>
          </cell>
          <cell r="C71" t="str">
            <v>L¾p ®Æt thiÕt bÞ chèng sÐt &lt; 11 KV</v>
          </cell>
          <cell r="D71" t="str">
            <v>Bé</v>
          </cell>
          <cell r="E71">
            <v>18927</v>
          </cell>
          <cell r="F71">
            <v>23176</v>
          </cell>
        </row>
        <row r="72">
          <cell r="B72" t="str">
            <v>02.5118</v>
          </cell>
          <cell r="C72" t="str">
            <v>L¾p ®Æt chèng sÐt h¹ thÕ</v>
          </cell>
          <cell r="D72" t="str">
            <v>Bé</v>
          </cell>
          <cell r="E72">
            <v>16937</v>
          </cell>
          <cell r="F72">
            <v>27811</v>
          </cell>
        </row>
        <row r="73">
          <cell r="B73" t="str">
            <v>7</v>
          </cell>
          <cell r="C73" t="str">
            <v>C«ng t¸c l¾p ®Æt hÖ thèng Acquy</v>
          </cell>
        </row>
        <row r="74">
          <cell r="B74" t="str">
            <v>02.7111</v>
          </cell>
          <cell r="C74" t="str">
            <v>L¾p ®Æt gi¸ ®ì Acquy</v>
          </cell>
          <cell r="D74" t="str">
            <v>Kg</v>
          </cell>
          <cell r="E74">
            <v>768.6</v>
          </cell>
          <cell r="F74">
            <v>3678.1</v>
          </cell>
        </row>
        <row r="75">
          <cell r="B75" t="str">
            <v>02.7113</v>
          </cell>
          <cell r="C75" t="str">
            <v>L¾p ®Æt d©y c¸i</v>
          </cell>
          <cell r="D75" t="str">
            <v>m</v>
          </cell>
          <cell r="E75">
            <v>3772.6</v>
          </cell>
          <cell r="F75">
            <v>7356.3</v>
          </cell>
        </row>
        <row r="76">
          <cell r="B76" t="str">
            <v>02.7121</v>
          </cell>
          <cell r="C76" t="str">
            <v>L¾p ®Æt Acquy ®· tæ hîp</v>
          </cell>
          <cell r="D76" t="str">
            <v>b×nh</v>
          </cell>
          <cell r="E76">
            <v>6322.9</v>
          </cell>
          <cell r="F76">
            <v>14152.7</v>
          </cell>
        </row>
        <row r="77">
          <cell r="B77" t="str">
            <v>02.7123</v>
          </cell>
          <cell r="C77" t="str">
            <v>L¾p ®Æt hÖ thèng n¹p ®iÖn Acquy ®· luyÖn cùc</v>
          </cell>
          <cell r="D77" t="str">
            <v>HT</v>
          </cell>
          <cell r="E77">
            <v>95851</v>
          </cell>
          <cell r="F77">
            <v>1236040</v>
          </cell>
        </row>
        <row r="78">
          <cell r="B78" t="str">
            <v>02.7124</v>
          </cell>
          <cell r="C78" t="str">
            <v>L¾p ®Æt hÖ thèng n¹p ®iÖn Acquy ch­a luyÖn cùc</v>
          </cell>
          <cell r="D78" t="str">
            <v>HT</v>
          </cell>
          <cell r="E78">
            <v>287035</v>
          </cell>
          <cell r="F78">
            <v>1854060</v>
          </cell>
        </row>
        <row r="79">
          <cell r="B79" t="str">
            <v>02.7125</v>
          </cell>
          <cell r="C79" t="str">
            <v>L¾p ®Æt thiÕt bÞ n¹p ( s¹c ) ®iÖn Acquy tù ®éng</v>
          </cell>
          <cell r="D79" t="str">
            <v>HT</v>
          </cell>
          <cell r="E79">
            <v>7952</v>
          </cell>
          <cell r="F79">
            <v>11348</v>
          </cell>
        </row>
        <row r="80">
          <cell r="B80" t="str">
            <v>02.7126</v>
          </cell>
          <cell r="C80" t="str">
            <v>L¾p ®Æt thiÕt bÞ n¹p ( s¹c ) ®iÖn Acquy kh«ng tù ®éng</v>
          </cell>
          <cell r="D80" t="str">
            <v>HT</v>
          </cell>
          <cell r="E80">
            <v>12609</v>
          </cell>
          <cell r="F80">
            <v>104291</v>
          </cell>
          <cell r="G80">
            <v>11348</v>
          </cell>
        </row>
        <row r="81">
          <cell r="B81" t="str">
            <v>8</v>
          </cell>
          <cell r="C81" t="str">
            <v>C«ng t¸c m¸y ®iÒu hoµ, qu¹t hót vµ th«ng giã</v>
          </cell>
        </row>
        <row r="82">
          <cell r="B82" t="str">
            <v>02.7201</v>
          </cell>
          <cell r="C82" t="str">
            <v>L¾p ®Æt m¸y ®iÌu hoµ 2 khèi CS&lt;= 12000 BTU</v>
          </cell>
          <cell r="D82" t="str">
            <v>M¸y</v>
          </cell>
          <cell r="E82">
            <v>35310</v>
          </cell>
          <cell r="F82">
            <v>17023</v>
          </cell>
        </row>
        <row r="83">
          <cell r="B83" t="str">
            <v>02.7202</v>
          </cell>
          <cell r="C83" t="str">
            <v>L¾p ®Æt m¸y ®iÌu hoµ 2 khèi CS&lt;= 24000 BTU</v>
          </cell>
          <cell r="D83" t="str">
            <v>M¸y</v>
          </cell>
          <cell r="E83">
            <v>38841</v>
          </cell>
          <cell r="F83">
            <v>18725</v>
          </cell>
        </row>
        <row r="84">
          <cell r="B84" t="str">
            <v>02.7203</v>
          </cell>
          <cell r="C84" t="str">
            <v>L¾p ®Æt m¸y ®iÌu hoµ 2 khèi CS&lt;= 36000 BTU</v>
          </cell>
          <cell r="D84" t="str">
            <v>M¸y</v>
          </cell>
          <cell r="E84">
            <v>42725</v>
          </cell>
          <cell r="F84">
            <v>20597</v>
          </cell>
        </row>
        <row r="85">
          <cell r="B85" t="str">
            <v>02.7204</v>
          </cell>
          <cell r="C85" t="str">
            <v>L¾p ®Æt m¸y ®iÌu hoµ 2 khèi CS&gt; 24000 BTU</v>
          </cell>
          <cell r="D85" t="str">
            <v>M¸y</v>
          </cell>
          <cell r="E85">
            <v>64088</v>
          </cell>
          <cell r="F85">
            <v>22657</v>
          </cell>
        </row>
        <row r="86">
          <cell r="B86" t="str">
            <v>02.7301</v>
          </cell>
          <cell r="C86" t="str">
            <v>L¾p ®Æt qu¹t, ®­êng kÝnh &lt;= 400 mm</v>
          </cell>
          <cell r="D86" t="str">
            <v>c¸i</v>
          </cell>
          <cell r="F86">
            <v>11182</v>
          </cell>
        </row>
        <row r="87">
          <cell r="B87" t="str">
            <v>02.7302</v>
          </cell>
          <cell r="C87" t="str">
            <v>L¾p ®Æt qu¹t, ®­êng kÝnh &lt;= 600 mm</v>
          </cell>
          <cell r="D87" t="str">
            <v>c¸i</v>
          </cell>
          <cell r="F87">
            <v>18538</v>
          </cell>
        </row>
        <row r="88">
          <cell r="B88" t="str">
            <v>02.7303</v>
          </cell>
          <cell r="C88" t="str">
            <v>L¾p ®Æt qu¹t, ®­êng kÝnh &lt;= 800 mm</v>
          </cell>
          <cell r="D88" t="str">
            <v>c¸i</v>
          </cell>
          <cell r="F88">
            <v>22952</v>
          </cell>
          <cell r="G88">
            <v>11348</v>
          </cell>
        </row>
        <row r="89">
          <cell r="B89" t="str">
            <v>9</v>
          </cell>
          <cell r="C89" t="str">
            <v>C«ng t¸c l¾p ®Æt ¸p t« m¸t + khëi ®éng tõ</v>
          </cell>
        </row>
        <row r="90">
          <cell r="C90" t="str">
            <v>C«ng t¸c l¾p ®Æt ¸p t« m¸t 3 pha</v>
          </cell>
        </row>
        <row r="91">
          <cell r="A91" t="str">
            <v>MCCB-3f-10A</v>
          </cell>
          <cell r="B91" t="str">
            <v>02.8401</v>
          </cell>
          <cell r="C91" t="str">
            <v xml:space="preserve">L¾p ®Æt ¸p t« m¸t 3fa - 10 A </v>
          </cell>
          <cell r="D91" t="str">
            <v>C¸i</v>
          </cell>
          <cell r="E91">
            <v>25949</v>
          </cell>
          <cell r="F91">
            <v>26974.329243024691</v>
          </cell>
        </row>
        <row r="92">
          <cell r="A92" t="str">
            <v>MCCB-3f-15A</v>
          </cell>
          <cell r="B92" t="str">
            <v>02.8401</v>
          </cell>
          <cell r="C92" t="str">
            <v xml:space="preserve">L¾p ®Æt ¸p t« m¸t 3fa - 15 A </v>
          </cell>
          <cell r="D92" t="str">
            <v>C¸i</v>
          </cell>
          <cell r="E92">
            <v>25949</v>
          </cell>
          <cell r="F92">
            <v>28394.030782131253</v>
          </cell>
        </row>
        <row r="93">
          <cell r="A93" t="str">
            <v>MCCB-3f-20A</v>
          </cell>
          <cell r="B93" t="str">
            <v>02.8401</v>
          </cell>
          <cell r="C93" t="str">
            <v xml:space="preserve">L¾p ®Æt ¸p t« m¸t 3fa - 20 A </v>
          </cell>
          <cell r="D93" t="str">
            <v>C¸i</v>
          </cell>
          <cell r="E93">
            <v>25949</v>
          </cell>
          <cell r="F93">
            <v>29888.453454875002</v>
          </cell>
        </row>
        <row r="94">
          <cell r="A94" t="str">
            <v>MCCB-3f-30A</v>
          </cell>
          <cell r="B94" t="str">
            <v>02.8401</v>
          </cell>
          <cell r="C94" t="str">
            <v xml:space="preserve">L¾p ®Æt ¸p t« m¸t 3fa - 30 A </v>
          </cell>
          <cell r="D94" t="str">
            <v>C¸i</v>
          </cell>
          <cell r="E94">
            <v>25949</v>
          </cell>
          <cell r="F94">
            <v>31461.529952500001</v>
          </cell>
        </row>
        <row r="95">
          <cell r="A95" t="str">
            <v>MCCB-3f-40A</v>
          </cell>
          <cell r="B95" t="str">
            <v>02.8401</v>
          </cell>
          <cell r="C95" t="str">
            <v xml:space="preserve">L¾p ®Æt ¸p t« m¸t 3fa - 40 A </v>
          </cell>
          <cell r="D95" t="str">
            <v>C¸i</v>
          </cell>
          <cell r="E95">
            <v>25949</v>
          </cell>
          <cell r="F95">
            <v>33117.399949999999</v>
          </cell>
        </row>
        <row r="96">
          <cell r="A96" t="str">
            <v>MCCB-3f-50A</v>
          </cell>
          <cell r="B96" t="str">
            <v>02.8401</v>
          </cell>
          <cell r="C96" t="str">
            <v xml:space="preserve">L¾p ®Æt ¸p t« m¸t 3fa - 50 A </v>
          </cell>
          <cell r="D96" t="str">
            <v>C¸i</v>
          </cell>
          <cell r="E96">
            <v>25949</v>
          </cell>
          <cell r="F96">
            <v>34860.421000000002</v>
          </cell>
        </row>
        <row r="97">
          <cell r="A97" t="str">
            <v>MCCB-3f-75A</v>
          </cell>
          <cell r="B97" t="str">
            <v>02.8401</v>
          </cell>
          <cell r="C97" t="str">
            <v xml:space="preserve">L¾p ®Æt ¸p t« m¸t 3fa - 75 A </v>
          </cell>
          <cell r="D97" t="str">
            <v>C¸i</v>
          </cell>
          <cell r="E97">
            <v>25949</v>
          </cell>
          <cell r="F97">
            <v>36695.175000000003</v>
          </cell>
        </row>
        <row r="98">
          <cell r="A98" t="str">
            <v>MCCB-3f-100A</v>
          </cell>
          <cell r="B98" t="str">
            <v>02.8401</v>
          </cell>
          <cell r="C98" t="str">
            <v xml:space="preserve">L¾p ®Æt ¸p t« m¸t 3fa - 100 A </v>
          </cell>
          <cell r="D98" t="str">
            <v>C¸i</v>
          </cell>
          <cell r="E98">
            <v>25949</v>
          </cell>
          <cell r="F98">
            <v>38626.5</v>
          </cell>
        </row>
        <row r="99">
          <cell r="A99" t="str">
            <v>MCCB-3f-150A</v>
          </cell>
          <cell r="B99" t="str">
            <v>02.8401</v>
          </cell>
          <cell r="C99" t="str">
            <v xml:space="preserve">L¾p ®Æt ¸p t« m¸t 3fa - 150 A </v>
          </cell>
          <cell r="D99" t="str">
            <v>C¸i</v>
          </cell>
          <cell r="E99">
            <v>25949</v>
          </cell>
          <cell r="F99">
            <v>56316.87</v>
          </cell>
        </row>
        <row r="100">
          <cell r="A100" t="str">
            <v>MCCB-3f-200A</v>
          </cell>
          <cell r="B100" t="str">
            <v>02.8401</v>
          </cell>
          <cell r="C100" t="str">
            <v xml:space="preserve">L¾p ®Æt ¸p t« m¸t 3fa - 200 A </v>
          </cell>
          <cell r="D100" t="str">
            <v>C¸i</v>
          </cell>
          <cell r="E100">
            <v>25949</v>
          </cell>
          <cell r="F100">
            <v>62574.3</v>
          </cell>
        </row>
        <row r="101">
          <cell r="A101" t="str">
            <v>MCCB-3f-250A</v>
          </cell>
          <cell r="B101" t="str">
            <v>02.8401</v>
          </cell>
          <cell r="C101" t="str">
            <v xml:space="preserve">L¾p ®Æt ¸p t« m¸t 250 A </v>
          </cell>
          <cell r="D101" t="str">
            <v>C¸i</v>
          </cell>
          <cell r="E101">
            <v>25949</v>
          </cell>
          <cell r="F101">
            <v>69527.7</v>
          </cell>
        </row>
        <row r="102">
          <cell r="A102" t="str">
            <v>MCCB-3f-300A</v>
          </cell>
          <cell r="B102" t="str">
            <v>02.8401</v>
          </cell>
          <cell r="C102" t="str">
            <v xml:space="preserve">L¾p ®Æt ¸p t« m¸t 300 A </v>
          </cell>
          <cell r="D102" t="str">
            <v>C¸i</v>
          </cell>
          <cell r="E102">
            <v>25949</v>
          </cell>
          <cell r="F102">
            <v>77253</v>
          </cell>
        </row>
        <row r="103">
          <cell r="A103" t="str">
            <v>MCCB-3f-400A</v>
          </cell>
          <cell r="B103" t="str">
            <v>02.8402</v>
          </cell>
          <cell r="C103" t="str">
            <v xml:space="preserve">L¾p ®Æt ¸p t« m¸t 400 A </v>
          </cell>
          <cell r="D103" t="str">
            <v>C¸i</v>
          </cell>
          <cell r="E103">
            <v>26419</v>
          </cell>
          <cell r="F103">
            <v>108154</v>
          </cell>
        </row>
        <row r="104">
          <cell r="A104" t="str">
            <v>MCCB-3f-500A</v>
          </cell>
          <cell r="B104" t="str">
            <v>02.8403</v>
          </cell>
          <cell r="C104" t="str">
            <v xml:space="preserve">L¾p ®Æt ¸p t« m¸t 500 A </v>
          </cell>
          <cell r="D104" t="str">
            <v>C¸i</v>
          </cell>
          <cell r="E104">
            <v>28918</v>
          </cell>
          <cell r="F104">
            <v>123604</v>
          </cell>
        </row>
        <row r="105">
          <cell r="A105" t="str">
            <v>MCCB-3f-600A</v>
          </cell>
          <cell r="B105" t="str">
            <v>02.8404</v>
          </cell>
          <cell r="C105" t="str">
            <v xml:space="preserve">L¾p ®Æt ¸p t« m¸t 600 A </v>
          </cell>
          <cell r="D105" t="str">
            <v>C¸i</v>
          </cell>
          <cell r="E105">
            <v>28918</v>
          </cell>
          <cell r="F105">
            <v>123604</v>
          </cell>
        </row>
        <row r="106">
          <cell r="A106" t="str">
            <v>MCCB-3f-700A</v>
          </cell>
          <cell r="B106" t="str">
            <v>02.8404</v>
          </cell>
          <cell r="C106" t="str">
            <v xml:space="preserve">L¾p ®Æt ¸p t« m¸t 700 A </v>
          </cell>
          <cell r="D106" t="str">
            <v>C¸i</v>
          </cell>
          <cell r="E106">
            <v>36742</v>
          </cell>
          <cell r="F106">
            <v>154505</v>
          </cell>
        </row>
        <row r="107">
          <cell r="A107" t="str">
            <v>MCCB-3f-800A</v>
          </cell>
          <cell r="B107" t="str">
            <v>02.8404</v>
          </cell>
          <cell r="C107" t="str">
            <v xml:space="preserve">L¾p ®Æt ¸p t« m¸t 800 A </v>
          </cell>
          <cell r="D107" t="str">
            <v>C¸i</v>
          </cell>
          <cell r="E107">
            <v>36742</v>
          </cell>
          <cell r="F107">
            <v>154505</v>
          </cell>
        </row>
        <row r="108">
          <cell r="A108" t="str">
            <v>MCCB-3f-1000A</v>
          </cell>
          <cell r="B108" t="str">
            <v>02.8404</v>
          </cell>
          <cell r="C108" t="str">
            <v xml:space="preserve">L¾p ®Æt ¸p t« m¸t 1000 A </v>
          </cell>
          <cell r="D108" t="str">
            <v>C¸i</v>
          </cell>
          <cell r="E108">
            <v>36742</v>
          </cell>
          <cell r="F108">
            <v>154505</v>
          </cell>
        </row>
        <row r="109">
          <cell r="A109" t="str">
            <v>MCCB-3f-1250A</v>
          </cell>
          <cell r="B109" t="str">
            <v>02.8404</v>
          </cell>
          <cell r="C109" t="str">
            <v xml:space="preserve">L¾p ®Æt ¸p t« m¸t 1250 A </v>
          </cell>
          <cell r="D109" t="str">
            <v>C¸i</v>
          </cell>
          <cell r="E109">
            <v>36742</v>
          </cell>
          <cell r="F109">
            <v>309010</v>
          </cell>
        </row>
        <row r="110">
          <cell r="A110" t="str">
            <v>MCCB-3f-1600A</v>
          </cell>
          <cell r="B110" t="str">
            <v>02.8404</v>
          </cell>
          <cell r="C110" t="str">
            <v xml:space="preserve">L¾p ®Æt ¸p t« m¸t 1600 A </v>
          </cell>
          <cell r="D110" t="str">
            <v>C¸i</v>
          </cell>
          <cell r="E110">
            <v>36742</v>
          </cell>
          <cell r="F110">
            <v>386262.5</v>
          </cell>
        </row>
        <row r="111">
          <cell r="C111" t="str">
            <v>C«ng t¸c l¾p ®Æt ¸p t« m¸t 1 pha ( 2 cùc )</v>
          </cell>
        </row>
        <row r="112">
          <cell r="A112" t="str">
            <v>MCCB-1f-10A</v>
          </cell>
          <cell r="B112" t="str">
            <v>02.8401</v>
          </cell>
          <cell r="C112" t="str">
            <v xml:space="preserve">L¾p ®Æt ¸p t« m¸t 1fa - 10 A </v>
          </cell>
          <cell r="D112" t="str">
            <v>C¸i</v>
          </cell>
          <cell r="E112">
            <v>17299.333333333332</v>
          </cell>
          <cell r="F112">
            <v>17982.886162016461</v>
          </cell>
        </row>
        <row r="113">
          <cell r="A113" t="str">
            <v>MCCB-1f-15A</v>
          </cell>
          <cell r="B113" t="str">
            <v>02.8401</v>
          </cell>
          <cell r="C113" t="str">
            <v xml:space="preserve">L¾p ®Æt ¸p t« m¸t 1fa - 15 A </v>
          </cell>
          <cell r="D113" t="str">
            <v>C¸i</v>
          </cell>
          <cell r="E113">
            <v>17299.333333333332</v>
          </cell>
          <cell r="F113">
            <v>18929.353854754168</v>
          </cell>
        </row>
        <row r="114">
          <cell r="A114" t="str">
            <v>MCCB-1f-20A</v>
          </cell>
          <cell r="B114" t="str">
            <v>02.8401</v>
          </cell>
          <cell r="C114" t="str">
            <v xml:space="preserve">L¾p ®Æt ¸p t« m¸t 1fa - 20 A </v>
          </cell>
          <cell r="D114" t="str">
            <v>C¸i</v>
          </cell>
          <cell r="E114">
            <v>17299.333333333332</v>
          </cell>
          <cell r="F114">
            <v>19925.635636583334</v>
          </cell>
        </row>
        <row r="115">
          <cell r="A115" t="str">
            <v>MCCB-1f-30A</v>
          </cell>
          <cell r="B115" t="str">
            <v>02.8401</v>
          </cell>
          <cell r="C115" t="str">
            <v xml:space="preserve">L¾p ®Æt ¸p t« m¸t 1fa - 30 A </v>
          </cell>
          <cell r="D115" t="str">
            <v>C¸i</v>
          </cell>
          <cell r="E115">
            <v>17299.333333333332</v>
          </cell>
          <cell r="F115">
            <v>20974.353301666666</v>
          </cell>
        </row>
        <row r="116">
          <cell r="A116" t="str">
            <v>MCCB-1f-40A</v>
          </cell>
          <cell r="B116" t="str">
            <v>02.8401</v>
          </cell>
          <cell r="C116" t="str">
            <v xml:space="preserve">L¾p ®Æt ¸p t« m¸t 1fa - 40 A </v>
          </cell>
          <cell r="D116" t="str">
            <v>C¸i</v>
          </cell>
          <cell r="E116">
            <v>17299.333333333332</v>
          </cell>
          <cell r="F116">
            <v>22078.266633333333</v>
          </cell>
        </row>
        <row r="117">
          <cell r="A117" t="str">
            <v>MCCB-1f-50A</v>
          </cell>
          <cell r="B117" t="str">
            <v>02.8401</v>
          </cell>
          <cell r="C117" t="str">
            <v xml:space="preserve">L¾p ®Æt ¸p t« m¸t 1fa - 50 A </v>
          </cell>
          <cell r="D117" t="str">
            <v>C¸i</v>
          </cell>
          <cell r="E117">
            <v>17299.333333333332</v>
          </cell>
          <cell r="F117">
            <v>23240.280666666669</v>
          </cell>
        </row>
        <row r="118">
          <cell r="A118" t="str">
            <v>MCCB-1f-75A</v>
          </cell>
          <cell r="B118" t="str">
            <v>02.8401</v>
          </cell>
          <cell r="C118" t="str">
            <v xml:space="preserve">L¾p ®Æt ¸p t« m¸t 1fa - 75 A </v>
          </cell>
          <cell r="D118" t="str">
            <v>C¸i</v>
          </cell>
          <cell r="E118">
            <v>17299.333333333332</v>
          </cell>
          <cell r="F118">
            <v>24463.45</v>
          </cell>
        </row>
        <row r="119">
          <cell r="A119" t="str">
            <v>MCCB-1f-100A</v>
          </cell>
          <cell r="B119" t="str">
            <v>02.8401</v>
          </cell>
          <cell r="C119" t="str">
            <v xml:space="preserve">L¾p ®Æt ¸p t« m¸t 1fa -100 A </v>
          </cell>
          <cell r="D119" t="str">
            <v>C¸i</v>
          </cell>
          <cell r="E119">
            <v>17299.333333333332</v>
          </cell>
          <cell r="F119">
            <v>25751</v>
          </cell>
        </row>
        <row r="120">
          <cell r="A120" t="str">
            <v>MCCB-1f-150A</v>
          </cell>
          <cell r="B120" t="str">
            <v>02.8401</v>
          </cell>
          <cell r="C120" t="str">
            <v xml:space="preserve">L¾p ®Æt ¸p t« m¸t 1fa - 150 A </v>
          </cell>
          <cell r="D120" t="str">
            <v>C¸i</v>
          </cell>
          <cell r="E120">
            <v>17299.333333333332</v>
          </cell>
          <cell r="F120">
            <v>37544.58</v>
          </cell>
        </row>
        <row r="121">
          <cell r="A121" t="str">
            <v>MCCB-1f-200A</v>
          </cell>
          <cell r="B121" t="str">
            <v>02.8401</v>
          </cell>
          <cell r="C121" t="str">
            <v xml:space="preserve">L¾p ®Æt ¸p t« m¸t 1fa - 200 A </v>
          </cell>
          <cell r="D121" t="str">
            <v>C¸i</v>
          </cell>
          <cell r="E121">
            <v>17299.333333333332</v>
          </cell>
          <cell r="F121">
            <v>41716.200000000004</v>
          </cell>
        </row>
        <row r="122">
          <cell r="C122" t="str">
            <v>C«ng t¸c l¾p ®Æt ¸p t« m¸t 3 pha</v>
          </cell>
        </row>
        <row r="123">
          <cell r="A123" t="str">
            <v>KDT-3f-10A</v>
          </cell>
          <cell r="B123" t="str">
            <v>02.8401</v>
          </cell>
          <cell r="C123" t="str">
            <v xml:space="preserve">L¾p ®Æt khëi ®éng tõ 3fa - 10 A </v>
          </cell>
          <cell r="D123" t="str">
            <v>C¸i</v>
          </cell>
          <cell r="E123">
            <v>25949</v>
          </cell>
          <cell r="F123">
            <v>26974.329243024691</v>
          </cell>
        </row>
        <row r="124">
          <cell r="A124" t="str">
            <v>KDT-3f-15A</v>
          </cell>
          <cell r="B124" t="str">
            <v>02.8401</v>
          </cell>
          <cell r="C124" t="str">
            <v xml:space="preserve">L¾p ®Æt khëi ®éng tõ 3fa - 15 A </v>
          </cell>
          <cell r="D124" t="str">
            <v>C¸i</v>
          </cell>
          <cell r="E124">
            <v>25949</v>
          </cell>
          <cell r="F124">
            <v>28394.030782131253</v>
          </cell>
        </row>
        <row r="125">
          <cell r="A125" t="str">
            <v>KDT-3f-20A</v>
          </cell>
          <cell r="B125" t="str">
            <v>02.8401</v>
          </cell>
          <cell r="C125" t="str">
            <v xml:space="preserve">L¾p ®Æt khëi ®éng tõ 3fa - 20 A </v>
          </cell>
          <cell r="D125" t="str">
            <v>C¸i</v>
          </cell>
          <cell r="E125">
            <v>25949</v>
          </cell>
          <cell r="F125">
            <v>29888.453454875002</v>
          </cell>
        </row>
        <row r="126">
          <cell r="A126" t="str">
            <v>KDT-3f-30A</v>
          </cell>
          <cell r="B126" t="str">
            <v>02.8401</v>
          </cell>
          <cell r="C126" t="str">
            <v xml:space="preserve">L¾p ®Æt khëi ®éng tõ 3fa - 30 A </v>
          </cell>
          <cell r="D126" t="str">
            <v>C¸i</v>
          </cell>
          <cell r="E126">
            <v>25949</v>
          </cell>
          <cell r="F126">
            <v>31461.529952500001</v>
          </cell>
        </row>
        <row r="127">
          <cell r="A127" t="str">
            <v>KDT-3f-40A</v>
          </cell>
          <cell r="B127" t="str">
            <v>02.8401</v>
          </cell>
          <cell r="C127" t="str">
            <v xml:space="preserve">L¾p ®Æt khëi ®éng tõ 3fa - 40 A </v>
          </cell>
          <cell r="D127" t="str">
            <v>C¸i</v>
          </cell>
          <cell r="E127">
            <v>25949</v>
          </cell>
          <cell r="F127">
            <v>33117.399949999999</v>
          </cell>
        </row>
        <row r="128">
          <cell r="A128" t="str">
            <v>KDT-3f-50A</v>
          </cell>
          <cell r="B128" t="str">
            <v>02.8401</v>
          </cell>
          <cell r="C128" t="str">
            <v xml:space="preserve">L¾p ®Æt khëi ®éng tõ 3fa - 50 A </v>
          </cell>
          <cell r="D128" t="str">
            <v>C¸i</v>
          </cell>
          <cell r="E128">
            <v>25949</v>
          </cell>
          <cell r="F128">
            <v>34860.421000000002</v>
          </cell>
        </row>
        <row r="129">
          <cell r="A129" t="str">
            <v>KDT-3f-60A</v>
          </cell>
          <cell r="B129" t="str">
            <v>02.8401</v>
          </cell>
          <cell r="C129" t="str">
            <v xml:space="preserve">L¾p ®Æt khëi ®éng tõ 3fa - 60 A </v>
          </cell>
          <cell r="D129" t="str">
            <v>C¸i</v>
          </cell>
          <cell r="E129">
            <v>25949</v>
          </cell>
          <cell r="F129">
            <v>34860.421000000002</v>
          </cell>
        </row>
        <row r="130">
          <cell r="A130" t="str">
            <v>KDT-3f-75A</v>
          </cell>
          <cell r="B130" t="str">
            <v>02.8401</v>
          </cell>
          <cell r="C130" t="str">
            <v xml:space="preserve">L¾p ®Æt khëi ®éng tõ 3fa - 75 A </v>
          </cell>
          <cell r="D130" t="str">
            <v>C¸i</v>
          </cell>
          <cell r="E130">
            <v>25949</v>
          </cell>
          <cell r="F130">
            <v>36695.175000000003</v>
          </cell>
        </row>
        <row r="131">
          <cell r="A131" t="str">
            <v>KDT-3f-100A</v>
          </cell>
          <cell r="B131" t="str">
            <v>02.8401</v>
          </cell>
          <cell r="C131" t="str">
            <v xml:space="preserve">L¾p ®Æt khëi ®éng tõ 3fa - 100 A </v>
          </cell>
          <cell r="D131" t="str">
            <v>C¸i</v>
          </cell>
          <cell r="E131">
            <v>25949</v>
          </cell>
          <cell r="F131">
            <v>38626.5</v>
          </cell>
        </row>
        <row r="132">
          <cell r="A132" t="str">
            <v>KDT-3f-150A</v>
          </cell>
          <cell r="B132" t="str">
            <v>02.8401</v>
          </cell>
          <cell r="C132" t="str">
            <v xml:space="preserve">L¾p ®Æt khëi ®éng tõ 3fa - 150 A </v>
          </cell>
          <cell r="D132" t="str">
            <v>C¸i</v>
          </cell>
          <cell r="E132">
            <v>25949</v>
          </cell>
          <cell r="F132">
            <v>56316.87</v>
          </cell>
        </row>
        <row r="133">
          <cell r="A133" t="str">
            <v>KDT-3f-200A</v>
          </cell>
          <cell r="B133" t="str">
            <v>02.8401</v>
          </cell>
          <cell r="C133" t="str">
            <v xml:space="preserve">L¾p ®Æt khëi ®éng tõ 3fa - 200 A </v>
          </cell>
          <cell r="D133" t="str">
            <v>C¸i</v>
          </cell>
          <cell r="E133">
            <v>25949</v>
          </cell>
          <cell r="F133">
            <v>62574.3</v>
          </cell>
        </row>
        <row r="134">
          <cell r="A134" t="str">
            <v>KDT-3f-250A</v>
          </cell>
          <cell r="B134" t="str">
            <v>02.8401</v>
          </cell>
          <cell r="C134" t="str">
            <v xml:space="preserve">L¾p ®Æt khëi ®éng tõ 3fa - 250 A </v>
          </cell>
          <cell r="D134" t="str">
            <v>C¸i</v>
          </cell>
          <cell r="E134">
            <v>25949</v>
          </cell>
          <cell r="F134">
            <v>69527.7</v>
          </cell>
        </row>
        <row r="135">
          <cell r="A135" t="str">
            <v>KDT-3f-300A</v>
          </cell>
          <cell r="B135" t="str">
            <v>02.8401</v>
          </cell>
          <cell r="C135" t="str">
            <v xml:space="preserve">L¾p ®Æt khëi ®éng tõ 3fa - 300 A </v>
          </cell>
          <cell r="D135" t="str">
            <v>C¸i</v>
          </cell>
          <cell r="E135">
            <v>25949</v>
          </cell>
          <cell r="F135">
            <v>77253</v>
          </cell>
        </row>
        <row r="136">
          <cell r="A136" t="str">
            <v>KDT-3f-400A</v>
          </cell>
          <cell r="B136" t="str">
            <v>02.8402</v>
          </cell>
          <cell r="C136" t="str">
            <v xml:space="preserve">L¾p ®Æt khëi ®éng tõ 3fa - 400 A </v>
          </cell>
          <cell r="D136" t="str">
            <v>C¸i</v>
          </cell>
          <cell r="E136">
            <v>26419</v>
          </cell>
          <cell r="F136">
            <v>108154</v>
          </cell>
        </row>
        <row r="137">
          <cell r="A137" t="str">
            <v>KDT-3f-500A</v>
          </cell>
          <cell r="B137" t="str">
            <v>02.8403</v>
          </cell>
          <cell r="C137" t="str">
            <v xml:space="preserve">L¾p ®Æt khëi ®éng tõ 3fa - 500 A </v>
          </cell>
          <cell r="D137" t="str">
            <v>C¸i</v>
          </cell>
          <cell r="E137">
            <v>28918</v>
          </cell>
          <cell r="F137">
            <v>123604</v>
          </cell>
        </row>
        <row r="138">
          <cell r="A138" t="str">
            <v>KDT-3f-600A</v>
          </cell>
          <cell r="B138" t="str">
            <v>02.8404</v>
          </cell>
          <cell r="C138" t="str">
            <v xml:space="preserve">L¾p ®Æt khëi ®éng tõ 3fa - 600 A </v>
          </cell>
          <cell r="D138" t="str">
            <v>C¸i</v>
          </cell>
          <cell r="E138">
            <v>28918</v>
          </cell>
          <cell r="F138">
            <v>123604</v>
          </cell>
        </row>
        <row r="139">
          <cell r="A139" t="str">
            <v>KDT-3f-700A</v>
          </cell>
          <cell r="B139" t="str">
            <v>02.8404</v>
          </cell>
          <cell r="C139" t="str">
            <v xml:space="preserve">L¾p ®Æt khëi ®éng tõ 3fa - 700 A </v>
          </cell>
          <cell r="D139" t="str">
            <v>C¸i</v>
          </cell>
          <cell r="E139">
            <v>36742</v>
          </cell>
          <cell r="F139">
            <v>154505</v>
          </cell>
        </row>
        <row r="140">
          <cell r="A140" t="str">
            <v>KDT-3f-800A</v>
          </cell>
          <cell r="B140" t="str">
            <v>02.8404</v>
          </cell>
          <cell r="C140" t="str">
            <v xml:space="preserve">L¾p ®Æt khëi ®éng tõ 3fa - 800 A </v>
          </cell>
          <cell r="D140" t="str">
            <v>C¸i</v>
          </cell>
          <cell r="E140">
            <v>36742</v>
          </cell>
          <cell r="F140">
            <v>154505</v>
          </cell>
        </row>
        <row r="141">
          <cell r="A141" t="str">
            <v>KDT-3f-1000A</v>
          </cell>
          <cell r="B141" t="str">
            <v>02.8404</v>
          </cell>
          <cell r="C141" t="str">
            <v xml:space="preserve">L¾p ®Æt khëi ®éng tõ 3fa - 1000 A </v>
          </cell>
          <cell r="D141" t="str">
            <v>C¸i</v>
          </cell>
          <cell r="E141">
            <v>36742</v>
          </cell>
          <cell r="F141">
            <v>154505</v>
          </cell>
        </row>
        <row r="142">
          <cell r="A142" t="str">
            <v>KDT-3f-1250A</v>
          </cell>
          <cell r="B142" t="str">
            <v>02.8404</v>
          </cell>
          <cell r="C142" t="str">
            <v xml:space="preserve">L¾p ®Æt khëi ®éng tõ 3fa - 1250 A </v>
          </cell>
          <cell r="D142" t="str">
            <v>C¸i</v>
          </cell>
          <cell r="E142">
            <v>36742</v>
          </cell>
          <cell r="F142">
            <v>309010</v>
          </cell>
        </row>
        <row r="143">
          <cell r="A143" t="str">
            <v>KDT-3f-1600A</v>
          </cell>
          <cell r="B143" t="str">
            <v>02.8404</v>
          </cell>
          <cell r="C143" t="str">
            <v xml:space="preserve">L¾p ®Æt khëi ®éng tõ 3fa - 1600 A </v>
          </cell>
          <cell r="D143" t="str">
            <v>C¸i</v>
          </cell>
          <cell r="E143">
            <v>36742</v>
          </cell>
          <cell r="F143">
            <v>386262.5</v>
          </cell>
        </row>
        <row r="144">
          <cell r="C144" t="str">
            <v>C«ng t¸c l¾p ®Æt ¸p t« m¸t 1 pha ( 2 cùc )</v>
          </cell>
        </row>
        <row r="145">
          <cell r="A145" t="str">
            <v>KDT-1f-10A</v>
          </cell>
          <cell r="B145" t="str">
            <v>02.8401</v>
          </cell>
          <cell r="C145" t="str">
            <v xml:space="preserve">L¾p ®Æt khëi ®éng tõ 1fa - 10 A </v>
          </cell>
          <cell r="D145" t="str">
            <v>C¸i</v>
          </cell>
          <cell r="E145">
            <v>17299.333333333332</v>
          </cell>
          <cell r="F145">
            <v>17982.886162016461</v>
          </cell>
        </row>
        <row r="146">
          <cell r="A146" t="str">
            <v>KDT-1f-15A</v>
          </cell>
          <cell r="B146" t="str">
            <v>02.8401</v>
          </cell>
          <cell r="C146" t="str">
            <v xml:space="preserve">L¾p ®Æt khëi ®éng tõ 1fa - 15 A </v>
          </cell>
          <cell r="D146" t="str">
            <v>C¸i</v>
          </cell>
          <cell r="E146">
            <v>17299.333333333332</v>
          </cell>
          <cell r="F146">
            <v>18929.353854754168</v>
          </cell>
        </row>
        <row r="147">
          <cell r="A147" t="str">
            <v>KDT-1f-20A</v>
          </cell>
          <cell r="B147" t="str">
            <v>02.8401</v>
          </cell>
          <cell r="C147" t="str">
            <v xml:space="preserve">L¾p ®Æt khëi ®éng tõ 1fa - 20 A </v>
          </cell>
          <cell r="D147" t="str">
            <v>C¸i</v>
          </cell>
          <cell r="E147">
            <v>17299.333333333332</v>
          </cell>
          <cell r="F147">
            <v>19925.635636583334</v>
          </cell>
        </row>
        <row r="148">
          <cell r="A148" t="str">
            <v>KDT-1f-30A</v>
          </cell>
          <cell r="B148" t="str">
            <v>02.8401</v>
          </cell>
          <cell r="C148" t="str">
            <v xml:space="preserve">L¾p ®Æt khëi ®éng tõ 1fa - 30 A </v>
          </cell>
          <cell r="D148" t="str">
            <v>C¸i</v>
          </cell>
          <cell r="E148">
            <v>17299.333333333332</v>
          </cell>
          <cell r="F148">
            <v>20974.353301666666</v>
          </cell>
        </row>
        <row r="149">
          <cell r="A149" t="str">
            <v>KDT-1f-40A</v>
          </cell>
          <cell r="B149" t="str">
            <v>02.8401</v>
          </cell>
          <cell r="C149" t="str">
            <v xml:space="preserve">L¾p ®Æt khëi ®éng tõ 1fa - 40 A </v>
          </cell>
          <cell r="D149" t="str">
            <v>C¸i</v>
          </cell>
          <cell r="E149">
            <v>17299.333333333332</v>
          </cell>
          <cell r="F149">
            <v>22078.266633333333</v>
          </cell>
        </row>
        <row r="150">
          <cell r="A150" t="str">
            <v>KDT-1f-50A</v>
          </cell>
          <cell r="B150" t="str">
            <v>02.8401</v>
          </cell>
          <cell r="C150" t="str">
            <v xml:space="preserve">L¾p ®Æt khëi ®éng tõ 1fa - 50 A </v>
          </cell>
          <cell r="D150" t="str">
            <v>C¸i</v>
          </cell>
          <cell r="E150">
            <v>17299.333333333332</v>
          </cell>
          <cell r="F150">
            <v>23240.280666666669</v>
          </cell>
        </row>
        <row r="151">
          <cell r="A151" t="str">
            <v>KDT-1f-60A</v>
          </cell>
          <cell r="B151" t="str">
            <v>02.8401</v>
          </cell>
          <cell r="C151" t="str">
            <v xml:space="preserve">L¾p ®Æt khëi ®éng tõ 1fa - 60 A </v>
          </cell>
          <cell r="D151" t="str">
            <v>C¸i</v>
          </cell>
          <cell r="E151">
            <v>17299.333333333332</v>
          </cell>
          <cell r="F151">
            <v>23240.280666666669</v>
          </cell>
        </row>
        <row r="152">
          <cell r="A152" t="str">
            <v>KDT-1f-75A</v>
          </cell>
          <cell r="B152" t="str">
            <v>02.8401</v>
          </cell>
          <cell r="C152" t="str">
            <v xml:space="preserve">L¾p ®Æt khëi ®éng tõ 1fa - 70 A </v>
          </cell>
          <cell r="D152" t="str">
            <v>C¸i</v>
          </cell>
          <cell r="E152">
            <v>17299.333333333332</v>
          </cell>
          <cell r="F152">
            <v>24463.45</v>
          </cell>
        </row>
        <row r="153">
          <cell r="A153" t="str">
            <v>KDT-1f-100A</v>
          </cell>
          <cell r="B153" t="str">
            <v>02.8401</v>
          </cell>
          <cell r="C153" t="str">
            <v xml:space="preserve">L¾p ®Æt khëi ®éng tõ 1fa - 100 A </v>
          </cell>
          <cell r="D153" t="str">
            <v>C¸i</v>
          </cell>
          <cell r="E153">
            <v>17299.333333333332</v>
          </cell>
          <cell r="F153">
            <v>25751</v>
          </cell>
        </row>
        <row r="154">
          <cell r="A154" t="str">
            <v>KDT-1f-150A</v>
          </cell>
          <cell r="B154" t="str">
            <v>02.8401</v>
          </cell>
          <cell r="C154" t="str">
            <v xml:space="preserve">L¾p ®Æt khëi ®éng tõ 1fa - 150 A </v>
          </cell>
          <cell r="D154" t="str">
            <v>C¸i</v>
          </cell>
          <cell r="E154">
            <v>17299.333333333332</v>
          </cell>
          <cell r="F154">
            <v>37544.58</v>
          </cell>
        </row>
        <row r="155">
          <cell r="A155" t="str">
            <v>KDT-1f-200A</v>
          </cell>
          <cell r="B155" t="str">
            <v>02.8401</v>
          </cell>
          <cell r="C155" t="str">
            <v xml:space="preserve">L¾p ®Æt khëi ®éng tõ 1fa - 200 A </v>
          </cell>
          <cell r="D155" t="str">
            <v>C¸i</v>
          </cell>
          <cell r="E155">
            <v>17299.333333333332</v>
          </cell>
          <cell r="F155">
            <v>41716.200000000004</v>
          </cell>
        </row>
        <row r="156">
          <cell r="B156">
            <v>10</v>
          </cell>
          <cell r="C156" t="str">
            <v>L¾p ®Æt hÖ thèng tô bï</v>
          </cell>
        </row>
        <row r="157">
          <cell r="C157" t="str">
            <v>C«ng t¸c l¾p ®Æt tô bï trªn dµn ®· cã s½n</v>
          </cell>
        </row>
        <row r="158">
          <cell r="B158" t="str">
            <v>02.8514</v>
          </cell>
          <cell r="C158" t="str">
            <v>L¾p ®Æt hÖ thèng tô bï 6- 35 KV</v>
          </cell>
          <cell r="D158" t="str">
            <v>KVAR</v>
          </cell>
          <cell r="E158">
            <v>386.2</v>
          </cell>
          <cell r="F158">
            <v>5995.1</v>
          </cell>
          <cell r="G158">
            <v>3259.8</v>
          </cell>
        </row>
        <row r="159">
          <cell r="B159" t="str">
            <v>02.8515</v>
          </cell>
          <cell r="C159" t="str">
            <v>L¾p ®Æt hÖ thèng tô bï 0,4 KV</v>
          </cell>
          <cell r="D159" t="str">
            <v>KVAR</v>
          </cell>
          <cell r="E159">
            <v>310.89999999999998</v>
          </cell>
          <cell r="F159">
            <v>4802.8999999999996</v>
          </cell>
          <cell r="G159">
            <v>3259.8</v>
          </cell>
        </row>
        <row r="160">
          <cell r="C160" t="str">
            <v>C«ng t¸c l¾p ®Æt tô bï trªn cét ®· cã s½n</v>
          </cell>
        </row>
        <row r="161">
          <cell r="B161" t="str">
            <v>02.8524</v>
          </cell>
          <cell r="C161" t="str">
            <v>L¾p ®Æt hÖ thèng tô bï 6- 35 KV</v>
          </cell>
          <cell r="D161" t="str">
            <v>KVAR</v>
          </cell>
          <cell r="E161">
            <v>386.2</v>
          </cell>
          <cell r="F161">
            <v>7221.4</v>
          </cell>
          <cell r="G161">
            <v>3259.8</v>
          </cell>
        </row>
        <row r="162">
          <cell r="B162" t="str">
            <v>02.8525</v>
          </cell>
          <cell r="C162" t="str">
            <v>L¾p ®Æt hÖ thèng tô bï 0,4 KV</v>
          </cell>
          <cell r="D162" t="str">
            <v>KVAR</v>
          </cell>
          <cell r="E162">
            <v>310.89999999999998</v>
          </cell>
          <cell r="F162">
            <v>5756.6</v>
          </cell>
          <cell r="G162">
            <v>3259.8</v>
          </cell>
        </row>
        <row r="163">
          <cell r="C163" t="str">
            <v>C«ng t¸c l¾p ®Æt tô bï trong tñ ®· cã s½n</v>
          </cell>
        </row>
        <row r="164">
          <cell r="B164" t="str">
            <v>02.8534</v>
          </cell>
          <cell r="C164" t="str">
            <v>L¾p ®Æt hÖ thèng tô bï 6- 35 KV</v>
          </cell>
          <cell r="D164" t="str">
            <v>KVAR</v>
          </cell>
          <cell r="E164">
            <v>386.2</v>
          </cell>
          <cell r="F164">
            <v>8141.1</v>
          </cell>
          <cell r="G164">
            <v>3259.8</v>
          </cell>
        </row>
        <row r="165">
          <cell r="B165" t="str">
            <v>02.8535</v>
          </cell>
          <cell r="C165" t="str">
            <v>L¾p ®Æt hÖ thèng tô bï 0,4 KV</v>
          </cell>
          <cell r="D165" t="str">
            <v>KVAR</v>
          </cell>
          <cell r="E165">
            <v>310.89999999999998</v>
          </cell>
          <cell r="F165">
            <v>6506</v>
          </cell>
          <cell r="G165">
            <v>3259.8</v>
          </cell>
        </row>
        <row r="166">
          <cell r="B166">
            <v>11</v>
          </cell>
          <cell r="C166" t="str">
            <v>C«ng t¸c l¾p ®Æt ®­êng c¸p</v>
          </cell>
        </row>
        <row r="167">
          <cell r="B167">
            <v>11.1</v>
          </cell>
          <cell r="C167" t="str">
            <v xml:space="preserve">C«ng t¸c l¾p ®Æt ®­êng c¸p ngÇm </v>
          </cell>
        </row>
        <row r="168">
          <cell r="B168" t="str">
            <v>03.1101</v>
          </cell>
          <cell r="C168" t="str">
            <v>L¾p ®Æt c¸p ngÇm, träng l­îng c¸p &lt;= 1 Kg/m</v>
          </cell>
          <cell r="D168" t="str">
            <v>m</v>
          </cell>
          <cell r="E168">
            <v>384.18</v>
          </cell>
          <cell r="F168">
            <v>550.04</v>
          </cell>
        </row>
        <row r="169">
          <cell r="B169" t="str">
            <v>03.1102</v>
          </cell>
          <cell r="C169" t="str">
            <v>L¾p ®Æt c¸p ngÇm, träng l­îng c¸p &lt;= 2 Kg/m</v>
          </cell>
          <cell r="D169" t="str">
            <v>m</v>
          </cell>
          <cell r="E169">
            <v>384.18</v>
          </cell>
          <cell r="F169">
            <v>639.65</v>
          </cell>
        </row>
        <row r="170">
          <cell r="B170" t="str">
            <v>03.1103</v>
          </cell>
          <cell r="C170" t="str">
            <v>L¾p ®Æt c¸p ngÇm, träng l­îng c¸p &lt;= 3 Kg/m</v>
          </cell>
          <cell r="D170" t="str">
            <v>m</v>
          </cell>
          <cell r="E170">
            <v>384.18</v>
          </cell>
          <cell r="F170">
            <v>859.78</v>
          </cell>
        </row>
        <row r="171">
          <cell r="B171" t="str">
            <v>03.1104</v>
          </cell>
          <cell r="C171" t="str">
            <v>L¾p ®Æt c¸p ngÇm, träng l­îng c¸p &lt;= 4,5 Kg/m</v>
          </cell>
          <cell r="D171" t="str">
            <v>m</v>
          </cell>
          <cell r="E171">
            <v>463.01</v>
          </cell>
          <cell r="F171">
            <v>106.26</v>
          </cell>
        </row>
        <row r="172">
          <cell r="B172" t="str">
            <v>03.1105</v>
          </cell>
          <cell r="C172" t="str">
            <v>L¾p ®Æt c¸p ngÇm, träng l­îng c¸p &lt;= 6 Kg/m</v>
          </cell>
          <cell r="D172" t="str">
            <v>m</v>
          </cell>
          <cell r="E172">
            <v>463.01</v>
          </cell>
          <cell r="F172">
            <v>1402.91</v>
          </cell>
        </row>
        <row r="173">
          <cell r="B173" t="str">
            <v>03.1106</v>
          </cell>
          <cell r="C173" t="str">
            <v>L¾p ®Æt c¸p ngÇm, träng l­îng c¸p &lt;= 7,5 Kg/m</v>
          </cell>
          <cell r="D173" t="str">
            <v>m</v>
          </cell>
          <cell r="E173">
            <v>541.84</v>
          </cell>
          <cell r="F173">
            <v>1786.08</v>
          </cell>
        </row>
        <row r="174">
          <cell r="B174" t="str">
            <v>03.1107</v>
          </cell>
          <cell r="C174" t="str">
            <v>L¾p ®Æt c¸p ngÇm, träng l­îng c¸p &lt;= 9 Kg/m</v>
          </cell>
          <cell r="D174" t="str">
            <v>m</v>
          </cell>
          <cell r="E174">
            <v>541.84</v>
          </cell>
          <cell r="F174">
            <v>2243.41</v>
          </cell>
        </row>
        <row r="175">
          <cell r="B175" t="str">
            <v>03.1108</v>
          </cell>
          <cell r="C175" t="str">
            <v>L¾p ®Æt c¸p ngÇm, träng l­îng c¸p &lt;= 10,5 Kg/m</v>
          </cell>
          <cell r="D175" t="str">
            <v>m</v>
          </cell>
          <cell r="E175">
            <v>615.16</v>
          </cell>
          <cell r="F175">
            <v>2947.96</v>
          </cell>
        </row>
        <row r="176">
          <cell r="B176">
            <v>11.2</v>
          </cell>
          <cell r="C176" t="str">
            <v xml:space="preserve">C«ng t¸c l¾p ®Æt ®­êng c¸p ngÇm trong èng b¶o vÖ </v>
          </cell>
        </row>
        <row r="177">
          <cell r="B177" t="str">
            <v>03.1401</v>
          </cell>
          <cell r="C177" t="str">
            <v>L¾p ®Æt c¸p ngÇm, träng l­îng c¸p &lt;= 1 Kg/m</v>
          </cell>
          <cell r="D177" t="str">
            <v>m</v>
          </cell>
          <cell r="E177">
            <v>447.64</v>
          </cell>
          <cell r="F177">
            <v>893.04</v>
          </cell>
        </row>
        <row r="178">
          <cell r="B178" t="str">
            <v>03.1402</v>
          </cell>
          <cell r="C178" t="str">
            <v>L¾p ®Æt c¸p ngÇm, träng l­îng c¸p &lt;= 2 Kg/m</v>
          </cell>
          <cell r="D178" t="str">
            <v>m</v>
          </cell>
          <cell r="E178">
            <v>447.64</v>
          </cell>
          <cell r="F178">
            <v>1019.73</v>
          </cell>
        </row>
        <row r="179">
          <cell r="B179" t="str">
            <v>03.1403</v>
          </cell>
          <cell r="C179" t="str">
            <v>L¾p ®Æt c¸p ngÇm, träng l­îng c¸p &lt;= 3 Kg/m</v>
          </cell>
          <cell r="D179" t="str">
            <v>m</v>
          </cell>
          <cell r="E179">
            <v>447.64</v>
          </cell>
          <cell r="F179">
            <v>1276.21</v>
          </cell>
        </row>
        <row r="180">
          <cell r="B180" t="str">
            <v>03.1404</v>
          </cell>
          <cell r="C180" t="str">
            <v>L¾p ®Æt c¸p ngÇm, träng l­îng c¸p &lt;= 4,5 Kg/m</v>
          </cell>
          <cell r="D180" t="str">
            <v>m</v>
          </cell>
          <cell r="E180">
            <v>529.29</v>
          </cell>
          <cell r="F180">
            <v>1699.56</v>
          </cell>
        </row>
        <row r="181">
          <cell r="B181" t="str">
            <v>03.1405</v>
          </cell>
          <cell r="C181" t="str">
            <v>L¾p ®Æt c¸p ngÇm, träng l­îng c¸p &lt;= 6 Kg/m</v>
          </cell>
          <cell r="D181" t="str">
            <v>m</v>
          </cell>
          <cell r="E181">
            <v>529.29</v>
          </cell>
          <cell r="F181">
            <v>2166.16</v>
          </cell>
        </row>
        <row r="182">
          <cell r="B182" t="str">
            <v>03.1406</v>
          </cell>
          <cell r="C182" t="str">
            <v>L¾p ®Æt c¸p ngÇm, träng l­îng c¸p &lt;= 7,5 Kg/m</v>
          </cell>
          <cell r="D182" t="str">
            <v>m</v>
          </cell>
          <cell r="E182">
            <v>630.26</v>
          </cell>
          <cell r="F182">
            <v>2805.81</v>
          </cell>
        </row>
        <row r="183">
          <cell r="B183" t="str">
            <v>03.1407</v>
          </cell>
          <cell r="C183" t="str">
            <v>L¾p ®Æt c¸p ngÇm, träng l­îng c¸p &lt;= 9 Kg/m</v>
          </cell>
          <cell r="D183" t="str">
            <v>m</v>
          </cell>
          <cell r="E183">
            <v>630.26</v>
          </cell>
          <cell r="F183">
            <v>3442.37</v>
          </cell>
        </row>
        <row r="184">
          <cell r="B184" t="str">
            <v>03.1408</v>
          </cell>
          <cell r="C184" t="str">
            <v>L¾p ®Æt c¸p ngÇm, träng l­îng c¸p &lt;= 10,5 Kg/m</v>
          </cell>
          <cell r="D184" t="str">
            <v>m</v>
          </cell>
          <cell r="E184">
            <v>706.4</v>
          </cell>
          <cell r="F184">
            <v>4165.45</v>
          </cell>
        </row>
        <row r="185">
          <cell r="B185">
            <v>11.3</v>
          </cell>
          <cell r="C185" t="str">
            <v>C«ng t¸c lµm ®Çu c¸p &lt;= 1000 V ( 3 ®Õn 4 ruét )</v>
          </cell>
        </row>
        <row r="186">
          <cell r="B186" t="str">
            <v>03.2111</v>
          </cell>
          <cell r="C186" t="str">
            <v>Lµm ®Çu c¸p kh«, tiÕt diÖn c¸p &lt;= 35 mm2</v>
          </cell>
          <cell r="D186" t="str">
            <v>®Çu</v>
          </cell>
          <cell r="E186">
            <v>2348</v>
          </cell>
          <cell r="F186">
            <v>26910</v>
          </cell>
        </row>
        <row r="187">
          <cell r="B187" t="str">
            <v>03.2112</v>
          </cell>
          <cell r="C187" t="str">
            <v>Lµm ®Çu c¸p kh«, tiÕt diÖn c¸p &lt;= 70 mm2</v>
          </cell>
          <cell r="D187" t="str">
            <v>®Çu</v>
          </cell>
          <cell r="E187">
            <v>2348</v>
          </cell>
          <cell r="F187">
            <v>30997</v>
          </cell>
        </row>
        <row r="188">
          <cell r="B188" t="str">
            <v>03.2113</v>
          </cell>
          <cell r="C188" t="str">
            <v>Lµm ®Çu c¸p kh«, tiÕt diÖn c¸p &lt;= 120 mm2</v>
          </cell>
          <cell r="D188" t="str">
            <v>®Çu</v>
          </cell>
          <cell r="E188">
            <v>2463</v>
          </cell>
          <cell r="F188">
            <v>35085</v>
          </cell>
        </row>
        <row r="189">
          <cell r="B189" t="str">
            <v>03.2114</v>
          </cell>
          <cell r="C189" t="str">
            <v>Lµm ®Çu c¸p kh«, tiÕt diÖn c¸p &lt;= 185 mm2</v>
          </cell>
          <cell r="D189" t="str">
            <v>®Çu</v>
          </cell>
          <cell r="E189">
            <v>3093</v>
          </cell>
          <cell r="F189">
            <v>38832</v>
          </cell>
        </row>
        <row r="190">
          <cell r="B190" t="str">
            <v>03.2115</v>
          </cell>
          <cell r="C190" t="str">
            <v>Lµm ®Çu c¸p kh«, tiÕt diÖn c¸p &lt;= 240 mm2</v>
          </cell>
          <cell r="D190" t="str">
            <v>®Çu</v>
          </cell>
          <cell r="E190">
            <v>3207</v>
          </cell>
          <cell r="F190">
            <v>43601</v>
          </cell>
        </row>
        <row r="191">
          <cell r="B191">
            <v>11.4</v>
          </cell>
          <cell r="C191" t="str">
            <v>C«ng t¸c lµm ®Çu c¸p 3-6 KV</v>
          </cell>
        </row>
        <row r="192">
          <cell r="B192" t="str">
            <v>03.2211</v>
          </cell>
          <cell r="C192" t="str">
            <v>Lµm ®Çu c¸p 3-6 KV tiÕt diÖn c¸p &lt;= 35 mm2</v>
          </cell>
          <cell r="D192" t="str">
            <v>®Çu</v>
          </cell>
          <cell r="E192">
            <v>2348</v>
          </cell>
          <cell r="F192">
            <v>30997</v>
          </cell>
        </row>
        <row r="193">
          <cell r="B193" t="str">
            <v>03.2212</v>
          </cell>
          <cell r="C193" t="str">
            <v>Lµm ®Çu c¸p 3-6 KV tiÕt diÖn c¸p &lt;= 70 mm2</v>
          </cell>
          <cell r="D193" t="str">
            <v>®Çu</v>
          </cell>
          <cell r="E193">
            <v>2348</v>
          </cell>
          <cell r="F193">
            <v>34404</v>
          </cell>
        </row>
        <row r="194">
          <cell r="B194" t="str">
            <v>03.2213</v>
          </cell>
          <cell r="C194" t="str">
            <v>Lµm ®Çu c¸p 3-6 KV tiÕt diÖn c¸p &lt;= 120 mm2</v>
          </cell>
          <cell r="D194" t="str">
            <v>®Çu</v>
          </cell>
          <cell r="E194">
            <v>3093</v>
          </cell>
          <cell r="F194">
            <v>38151</v>
          </cell>
        </row>
        <row r="195">
          <cell r="B195" t="str">
            <v>03.2214</v>
          </cell>
          <cell r="C195" t="str">
            <v>Lµm ®Çu c¸p 3-6 KV tiÕt diÖn c¸p &lt;= 185 mm2</v>
          </cell>
          <cell r="D195" t="str">
            <v>®Çu</v>
          </cell>
          <cell r="E195">
            <v>3093</v>
          </cell>
          <cell r="F195">
            <v>44623</v>
          </cell>
        </row>
        <row r="196">
          <cell r="B196" t="str">
            <v>03.2215</v>
          </cell>
          <cell r="C196" t="str">
            <v>Lµm ®Çu c¸p 3-6 KV tiÕt diÖn c¸p &lt;= 240 mm2</v>
          </cell>
          <cell r="D196" t="str">
            <v>®Çu</v>
          </cell>
          <cell r="E196">
            <v>3837</v>
          </cell>
          <cell r="F196">
            <v>47348</v>
          </cell>
        </row>
        <row r="197">
          <cell r="B197">
            <v>11.5</v>
          </cell>
          <cell r="C197" t="str">
            <v>C«ng t¸c lµm ®Çu c¸p 10-15 KV</v>
          </cell>
        </row>
        <row r="198">
          <cell r="B198" t="str">
            <v>03.2221</v>
          </cell>
          <cell r="C198" t="str">
            <v>Lµm ®Çu c¸p 10-15 KV tiÕt diÖn c¸p &lt;= 35 mm2</v>
          </cell>
          <cell r="D198" t="str">
            <v>®Çu</v>
          </cell>
          <cell r="E198">
            <v>2348</v>
          </cell>
          <cell r="F198">
            <v>48710</v>
          </cell>
        </row>
        <row r="199">
          <cell r="B199" t="str">
            <v>03.2222</v>
          </cell>
          <cell r="C199" t="str">
            <v>Lµm ®Çu c¸p 10-15 KV tiÕt diÖn c¸p &lt;= 70 mm2</v>
          </cell>
          <cell r="D199" t="str">
            <v>®Çu</v>
          </cell>
          <cell r="E199">
            <v>2348</v>
          </cell>
          <cell r="F199">
            <v>53820</v>
          </cell>
        </row>
        <row r="200">
          <cell r="B200" t="str">
            <v>03.2223</v>
          </cell>
          <cell r="C200" t="str">
            <v>Lµm ®Çu c¸p 10-15 KV tiÕt diÖn c¸p &lt;= 120 mm2</v>
          </cell>
          <cell r="D200" t="str">
            <v>®Çu</v>
          </cell>
          <cell r="E200">
            <v>3093</v>
          </cell>
          <cell r="F200">
            <v>59610</v>
          </cell>
        </row>
        <row r="201">
          <cell r="B201" t="str">
            <v>03.2224</v>
          </cell>
          <cell r="C201" t="str">
            <v>Lµm ®Çu c¸p 10-15 KV tiÕt diÖn c¸p &lt;= 185 mm2</v>
          </cell>
          <cell r="D201" t="str">
            <v>®Çu</v>
          </cell>
          <cell r="E201">
            <v>3093</v>
          </cell>
          <cell r="F201">
            <v>65401</v>
          </cell>
        </row>
        <row r="202">
          <cell r="B202" t="str">
            <v>03.2225</v>
          </cell>
          <cell r="C202" t="str">
            <v>Lµm ®Çu c¸p 10-15 KV tiÕt diÖn c¸p &lt;= 240 mm2</v>
          </cell>
          <cell r="D202" t="str">
            <v>®Çu</v>
          </cell>
          <cell r="E202">
            <v>3837</v>
          </cell>
          <cell r="F202">
            <v>73235</v>
          </cell>
        </row>
        <row r="203">
          <cell r="B203">
            <v>11.6</v>
          </cell>
          <cell r="C203" t="str">
            <v>C«ng t¸c lµm ®Çu c¸p 22 KV</v>
          </cell>
        </row>
        <row r="204">
          <cell r="B204" t="str">
            <v>03.2311</v>
          </cell>
          <cell r="C204" t="str">
            <v>Lµm ®Çu c¸p 22 KV tiÕt diÖn c¸p &lt;= 35 mm2</v>
          </cell>
          <cell r="D204" t="str">
            <v>®Çu</v>
          </cell>
          <cell r="E204">
            <v>4238</v>
          </cell>
          <cell r="F204">
            <v>63017</v>
          </cell>
        </row>
        <row r="205">
          <cell r="B205" t="str">
            <v>03.2312</v>
          </cell>
          <cell r="C205" t="str">
            <v>Lµm ®Çu c¸p 22 KV tiÕt diÖn c¸p &lt;= 70 mm2</v>
          </cell>
          <cell r="D205" t="str">
            <v>®Çu</v>
          </cell>
          <cell r="E205">
            <v>4238</v>
          </cell>
          <cell r="F205">
            <v>69829</v>
          </cell>
        </row>
        <row r="206">
          <cell r="B206" t="str">
            <v>03.2313</v>
          </cell>
          <cell r="C206" t="str">
            <v>Lµm ®Çu c¸p 22 KV tiÕt diÖn c¸p &lt;= 120 mm2</v>
          </cell>
          <cell r="D206" t="str">
            <v>®Çu</v>
          </cell>
          <cell r="E206">
            <v>4353</v>
          </cell>
          <cell r="F206">
            <v>77323</v>
          </cell>
        </row>
        <row r="207">
          <cell r="B207" t="str">
            <v>03.2314</v>
          </cell>
          <cell r="C207" t="str">
            <v>Lµm ®Çu c¸p 22 KV tiÕt diÖn c¸p &lt;= 185 mm2</v>
          </cell>
          <cell r="D207" t="str">
            <v>®Çu</v>
          </cell>
          <cell r="E207">
            <v>4983</v>
          </cell>
          <cell r="F207">
            <v>85158</v>
          </cell>
        </row>
        <row r="208">
          <cell r="B208" t="str">
            <v>03.2315</v>
          </cell>
          <cell r="C208" t="str">
            <v>Lµm ®Çu c¸p 22 KV tiÕt diÖn c¸p &lt;= 240 mm2</v>
          </cell>
          <cell r="D208" t="str">
            <v>®Çu</v>
          </cell>
          <cell r="E208">
            <v>5097</v>
          </cell>
          <cell r="F208">
            <v>95036</v>
          </cell>
        </row>
        <row r="209">
          <cell r="B209">
            <v>11.7</v>
          </cell>
          <cell r="C209" t="str">
            <v>C«ng t¸c lµm ®Çu c¸p 35 KV</v>
          </cell>
        </row>
        <row r="210">
          <cell r="B210" t="str">
            <v>03.2321</v>
          </cell>
          <cell r="C210" t="str">
            <v>Lµm ®Çu c¸p 35 KV tiÕt diÖn c¸p &lt;= 35 mm2</v>
          </cell>
          <cell r="D210" t="str">
            <v>®Çu</v>
          </cell>
          <cell r="E210">
            <v>4238</v>
          </cell>
          <cell r="F210">
            <v>82092</v>
          </cell>
        </row>
        <row r="211">
          <cell r="B211" t="str">
            <v>03.2322</v>
          </cell>
          <cell r="C211" t="str">
            <v>Lµm ®Çu c¸p 35 KV tiÕt diÖn c¸p &lt;= 70 mm2</v>
          </cell>
          <cell r="D211" t="str">
            <v>®Çu</v>
          </cell>
          <cell r="E211">
            <v>4238</v>
          </cell>
          <cell r="F211">
            <v>90948</v>
          </cell>
        </row>
        <row r="212">
          <cell r="B212" t="str">
            <v>03.2323</v>
          </cell>
          <cell r="C212" t="str">
            <v>Lµm ®Çu c¸p 35 KV tiÕt diÖn c¸p &lt;= 120 mm2</v>
          </cell>
          <cell r="D212" t="str">
            <v>®Çu</v>
          </cell>
          <cell r="E212">
            <v>4353</v>
          </cell>
          <cell r="F212">
            <v>100486</v>
          </cell>
        </row>
        <row r="213">
          <cell r="B213" t="str">
            <v>03.2324</v>
          </cell>
          <cell r="C213" t="str">
            <v>Lµm ®Çu c¸p 35 KV tiÕt diÖn c¸p &lt;= 185 mm2</v>
          </cell>
          <cell r="D213" t="str">
            <v>®Çu</v>
          </cell>
          <cell r="E213">
            <v>4983</v>
          </cell>
          <cell r="F213">
            <v>110364</v>
          </cell>
        </row>
        <row r="214">
          <cell r="B214" t="str">
            <v>03.2325</v>
          </cell>
          <cell r="C214" t="str">
            <v>Lµm ®Çu c¸p 35 KV tiÕt diÖn c¸p &lt;= 240 mm2</v>
          </cell>
          <cell r="D214" t="str">
            <v>®Çu</v>
          </cell>
          <cell r="E214">
            <v>5097</v>
          </cell>
          <cell r="F214">
            <v>123649</v>
          </cell>
        </row>
        <row r="215">
          <cell r="B215">
            <v>11.8</v>
          </cell>
          <cell r="C215" t="str">
            <v>C«ng t¸c lµm ®Çu c¸p kiÓm tra</v>
          </cell>
        </row>
        <row r="216">
          <cell r="B216" t="str">
            <v>03.2501</v>
          </cell>
          <cell r="C216" t="str">
            <v>Lµm vµ l¾p ®Æt ®Çu c¸p kiÓm tra sè ruét &lt;= 6 ruét</v>
          </cell>
          <cell r="D216" t="str">
            <v>®Çu</v>
          </cell>
          <cell r="E216">
            <v>2702</v>
          </cell>
          <cell r="F216">
            <v>25685</v>
          </cell>
        </row>
        <row r="217">
          <cell r="B217" t="str">
            <v>03.2502</v>
          </cell>
          <cell r="C217" t="str">
            <v>Lµm vµ l¾p ®Æt ®Çu c¸p kiÓm tra sè ruét &lt;= 14 ruét</v>
          </cell>
          <cell r="D217" t="str">
            <v>®Çu</v>
          </cell>
          <cell r="E217">
            <v>3594</v>
          </cell>
          <cell r="F217">
            <v>36853</v>
          </cell>
        </row>
        <row r="218">
          <cell r="B218" t="str">
            <v>03.2503</v>
          </cell>
          <cell r="C218" t="str">
            <v>Lµm vµ l¾p ®Æt ®Çu c¸p kiÓm tra sè ruét &lt;= 19 ruét</v>
          </cell>
          <cell r="D218" t="str">
            <v>®Çu</v>
          </cell>
          <cell r="E218">
            <v>4152</v>
          </cell>
          <cell r="F218">
            <v>48020</v>
          </cell>
        </row>
        <row r="219">
          <cell r="B219">
            <v>11.9</v>
          </cell>
          <cell r="C219" t="str">
            <v>C«ng t¸c lµm ®Çu cèt</v>
          </cell>
        </row>
        <row r="220">
          <cell r="B220" t="str">
            <v>03.4001</v>
          </cell>
          <cell r="C220" t="str">
            <v>Lµm ®Çu cèt ®ång c¸c lo¹i , tiÕt diÖn c¸p &lt;= 35 mm2</v>
          </cell>
          <cell r="D220" t="str">
            <v>c¸i</v>
          </cell>
          <cell r="E220">
            <v>363.6</v>
          </cell>
          <cell r="F220">
            <v>681.3</v>
          </cell>
          <cell r="G220">
            <v>1472.7</v>
          </cell>
        </row>
        <row r="221">
          <cell r="B221" t="str">
            <v>03.4002</v>
          </cell>
          <cell r="C221" t="str">
            <v>Lµm ®Çu cèt ®ång c¸c lo¹i , tiÕt diÖn c¸p &lt;= 50 mm2</v>
          </cell>
          <cell r="D221" t="str">
            <v>c¸i</v>
          </cell>
          <cell r="E221">
            <v>363.6</v>
          </cell>
          <cell r="F221">
            <v>1192.2</v>
          </cell>
          <cell r="G221">
            <v>1472.7</v>
          </cell>
        </row>
        <row r="222">
          <cell r="B222" t="str">
            <v>03.4003</v>
          </cell>
          <cell r="C222" t="str">
            <v>Lµm ®Çu cèt ®ång c¸c lo¹i , tiÕt diÖn c¸p &lt;= 70 mm2</v>
          </cell>
          <cell r="D222" t="str">
            <v>c¸i</v>
          </cell>
          <cell r="E222">
            <v>363.6</v>
          </cell>
          <cell r="F222">
            <v>1873.5</v>
          </cell>
          <cell r="G222">
            <v>1767.2</v>
          </cell>
        </row>
        <row r="223">
          <cell r="B223" t="str">
            <v>03.4004</v>
          </cell>
          <cell r="C223" t="str">
            <v>Lµm ®Çu cèt ®ång c¸c lo¹i , tiÕt diÖn c¸p &lt;= 95 mm2</v>
          </cell>
          <cell r="D223" t="str">
            <v>c¸i</v>
          </cell>
          <cell r="E223">
            <v>404</v>
          </cell>
          <cell r="F223">
            <v>2384.4</v>
          </cell>
          <cell r="G223">
            <v>1767.2</v>
          </cell>
        </row>
        <row r="224">
          <cell r="B224" t="str">
            <v>03.4005</v>
          </cell>
          <cell r="C224" t="str">
            <v>Lµm ®Çu cèt ®ång c¸c lo¹i , tiÕt diÖn c¸p &lt;= 120 mm2</v>
          </cell>
          <cell r="D224" t="str">
            <v>c¸i</v>
          </cell>
          <cell r="E224">
            <v>1090.8</v>
          </cell>
          <cell r="F224">
            <v>3065.7</v>
          </cell>
          <cell r="G224">
            <v>2061.6999999999998</v>
          </cell>
        </row>
        <row r="225">
          <cell r="B225" t="str">
            <v>03.4006</v>
          </cell>
          <cell r="C225" t="str">
            <v>Lµm ®Çu cèt ®ång c¸c lo¹i , tiÕt diÖn c¸p &lt;= 150 mm2</v>
          </cell>
          <cell r="D225" t="str">
            <v>c¸i</v>
          </cell>
          <cell r="E225">
            <v>1090.8</v>
          </cell>
          <cell r="F225">
            <v>3746.9</v>
          </cell>
          <cell r="G225">
            <v>2356.3000000000002</v>
          </cell>
        </row>
        <row r="226">
          <cell r="B226" t="str">
            <v>03.4007</v>
          </cell>
          <cell r="C226" t="str">
            <v>Lµm ®Çu cèt ®ång c¸c lo¹i , tiÕt diÖn c¸p &lt;= 185 mm2</v>
          </cell>
          <cell r="D226" t="str">
            <v>c¸i</v>
          </cell>
          <cell r="E226">
            <v>1090.8</v>
          </cell>
          <cell r="F226">
            <v>4496.3</v>
          </cell>
          <cell r="G226">
            <v>2650.8</v>
          </cell>
        </row>
        <row r="227">
          <cell r="B227" t="str">
            <v>03.4008</v>
          </cell>
          <cell r="C227" t="str">
            <v>Lµm ®Çu cèt ®ång c¸c lo¹i , tiÕt diÖn c¸p &lt;= 240 mm2</v>
          </cell>
          <cell r="D227" t="str">
            <v>c¸i</v>
          </cell>
          <cell r="E227">
            <v>2666.4</v>
          </cell>
          <cell r="F227">
            <v>5620.4</v>
          </cell>
          <cell r="G227">
            <v>2945.4</v>
          </cell>
        </row>
        <row r="228">
          <cell r="B228" t="str">
            <v>03.4009</v>
          </cell>
          <cell r="C228" t="str">
            <v>Lµm ®Çu cèt ®ång c¸c lo¹i , tiÕt diÖn c¸p &lt;= 300 mm2</v>
          </cell>
          <cell r="D228" t="str">
            <v>c¸i</v>
          </cell>
          <cell r="E228">
            <v>2666.4</v>
          </cell>
          <cell r="F228">
            <v>6676.3</v>
          </cell>
          <cell r="G228">
            <v>4123.5</v>
          </cell>
        </row>
        <row r="229">
          <cell r="B229" t="str">
            <v>03.4010</v>
          </cell>
          <cell r="C229" t="str">
            <v>Lµm ®Çu cèt ®ång c¸c lo¹i , tiÕt diÖn c¸p &lt;= 400 mm2</v>
          </cell>
          <cell r="D229" t="str">
            <v>c¸i</v>
          </cell>
          <cell r="E229">
            <v>2666.4</v>
          </cell>
          <cell r="F229">
            <v>8890.4</v>
          </cell>
          <cell r="G229">
            <v>5301.6</v>
          </cell>
        </row>
        <row r="230">
          <cell r="B230" t="str">
            <v xml:space="preserve">( Ðp kho¸ nÐo d©y, ®Çu cèt lÌo, èng nèi d©y dÉn, d©y chèng sÐt th× NCx1.1 ) </v>
          </cell>
        </row>
        <row r="231">
          <cell r="B231">
            <v>12</v>
          </cell>
          <cell r="C231" t="str">
            <v>R¶i d©y, l¾p thanh c¸i, sø , phô kiÖn</v>
          </cell>
        </row>
        <row r="232">
          <cell r="B232">
            <v>12.1</v>
          </cell>
          <cell r="C232" t="str">
            <v>C«ng t¸c r¶i d©y lÊy ®é vâng ph¹m vi tr¹m</v>
          </cell>
        </row>
        <row r="233">
          <cell r="B233" t="str">
            <v>04.1101</v>
          </cell>
          <cell r="C233" t="str">
            <v>R·i c¨ng d©y lÊy ®é vâng tiÕt diÖn d©y &lt;= 35 mm2</v>
          </cell>
          <cell r="D233" t="str">
            <v>m</v>
          </cell>
          <cell r="E233">
            <v>3.14</v>
          </cell>
          <cell r="F233">
            <v>401.71</v>
          </cell>
        </row>
        <row r="234">
          <cell r="B234" t="str">
            <v>04.1102</v>
          </cell>
          <cell r="C234" t="str">
            <v>R·i c¨ng d©y lÊy ®é vâng tiÕt diÖn d©y &lt;= 50 mm2</v>
          </cell>
          <cell r="D234" t="str">
            <v>m</v>
          </cell>
          <cell r="E234">
            <v>3.14</v>
          </cell>
          <cell r="F234">
            <v>525.32000000000005</v>
          </cell>
        </row>
        <row r="235">
          <cell r="B235" t="str">
            <v>04.1103</v>
          </cell>
          <cell r="C235" t="str">
            <v>R·i c¨ng d©y lÊy ®é vâng tiÕt diÖn d©y &lt;= 70 mm2</v>
          </cell>
          <cell r="D235" t="str">
            <v>m</v>
          </cell>
          <cell r="E235">
            <v>3.48</v>
          </cell>
          <cell r="F235">
            <v>710.72</v>
          </cell>
        </row>
        <row r="236">
          <cell r="B236" t="str">
            <v>04.1104</v>
          </cell>
          <cell r="C236" t="str">
            <v>R·i c¨ng d©y lÊy ®é vâng tiÕt diÖn d©y &lt;= 95 mm2</v>
          </cell>
          <cell r="D236" t="str">
            <v>m</v>
          </cell>
          <cell r="E236">
            <v>3.83</v>
          </cell>
          <cell r="F236">
            <v>988.83</v>
          </cell>
        </row>
        <row r="237">
          <cell r="B237" t="str">
            <v>04.1105</v>
          </cell>
          <cell r="C237" t="str">
            <v>R·i c¨ng d©y lÊy ®é vâng tiÕt diÖn d©y &lt;= 120 mm2</v>
          </cell>
          <cell r="D237" t="str">
            <v>m</v>
          </cell>
          <cell r="E237">
            <v>4.18</v>
          </cell>
          <cell r="F237">
            <v>1112.44</v>
          </cell>
        </row>
        <row r="238">
          <cell r="B238" t="str">
            <v>04.1106</v>
          </cell>
          <cell r="C238" t="str">
            <v>R·i c¨ng d©y lÊy ®é vâng tiÕt diÖn d©y &lt;= 150 mm2</v>
          </cell>
          <cell r="D238" t="str">
            <v>m</v>
          </cell>
          <cell r="E238">
            <v>4.5999999999999996</v>
          </cell>
          <cell r="F238">
            <v>1328.74</v>
          </cell>
        </row>
        <row r="239">
          <cell r="B239" t="str">
            <v>04.1201</v>
          </cell>
          <cell r="C239" t="str">
            <v>R·i c¨ng d©y lÊy ®é vâng tiÕt diÖn d©y &lt;= 185 mm2</v>
          </cell>
          <cell r="D239" t="str">
            <v>m</v>
          </cell>
          <cell r="E239">
            <v>4.5999999999999996</v>
          </cell>
          <cell r="F239">
            <v>1575.95</v>
          </cell>
        </row>
        <row r="240">
          <cell r="B240" t="str">
            <v>04.1202</v>
          </cell>
          <cell r="C240" t="str">
            <v>R·i c¨ng d©y lÊy ®é vâng tiÕt diÖn d©y &lt;= 240 mm2</v>
          </cell>
          <cell r="D240" t="str">
            <v>m</v>
          </cell>
          <cell r="E240">
            <v>4.5999999999999996</v>
          </cell>
          <cell r="F240">
            <v>1816.98</v>
          </cell>
        </row>
        <row r="241">
          <cell r="B241" t="str">
            <v>04.1203</v>
          </cell>
          <cell r="C241" t="str">
            <v>R·i c¨ng d©y lÊy ®é vâng tiÕt diÖn d©y &lt;= 300 mm2</v>
          </cell>
          <cell r="D241" t="str">
            <v>m</v>
          </cell>
          <cell r="E241">
            <v>6.55</v>
          </cell>
          <cell r="F241">
            <v>2317.58</v>
          </cell>
        </row>
        <row r="242">
          <cell r="C242" t="str">
            <v>( §¬n gi¸ lµ d©y AC, nÕu d©y M th× DGx1,3 víi tiÕt diÖn t­¬ng øng )</v>
          </cell>
        </row>
        <row r="243">
          <cell r="B243">
            <v>12.2</v>
          </cell>
          <cell r="C243" t="str">
            <v>C«ng t¸c r¶i d©y chèng sÐt ph¹m vi tr¹m</v>
          </cell>
        </row>
        <row r="244">
          <cell r="B244" t="str">
            <v>04.1301</v>
          </cell>
          <cell r="C244" t="str">
            <v>R·i c¨ng d©y chèng sÐt , tiÕt diÖn d©y &lt;= 16 mm2</v>
          </cell>
          <cell r="D244" t="str">
            <v>m</v>
          </cell>
          <cell r="E244">
            <v>2.93</v>
          </cell>
          <cell r="F244">
            <v>503.69</v>
          </cell>
        </row>
        <row r="245">
          <cell r="B245" t="str">
            <v>04.1302</v>
          </cell>
          <cell r="C245" t="str">
            <v>R·i c¨ng d©y chèng sÐt , tiÕt diÖn d©y &lt;= 25 mm2</v>
          </cell>
          <cell r="D245" t="str">
            <v>m</v>
          </cell>
          <cell r="E245">
            <v>2.93</v>
          </cell>
          <cell r="F245">
            <v>618.02</v>
          </cell>
        </row>
        <row r="246">
          <cell r="B246" t="str">
            <v>04.1303</v>
          </cell>
          <cell r="C246" t="str">
            <v>R·i c¨ng d©y chèng sÐt , tiÕt diÖn d©y &lt;= 35 mm2</v>
          </cell>
          <cell r="D246" t="str">
            <v>m</v>
          </cell>
          <cell r="E246">
            <v>3.14</v>
          </cell>
          <cell r="F246">
            <v>695.27</v>
          </cell>
        </row>
        <row r="247">
          <cell r="B247" t="str">
            <v>04.1304</v>
          </cell>
          <cell r="C247" t="str">
            <v>R·i c¨ng d©y chèng sÐt , tiÕt diÖn d©y &lt;= 50 mm2</v>
          </cell>
          <cell r="D247" t="str">
            <v>m</v>
          </cell>
          <cell r="E247">
            <v>3.48</v>
          </cell>
          <cell r="F247">
            <v>778.71</v>
          </cell>
        </row>
        <row r="248">
          <cell r="B248" t="str">
            <v>04.1305</v>
          </cell>
          <cell r="C248" t="str">
            <v>R·i c¨ng d©y chèng sÐt , tiÕt diÖn d©y &lt;= 75 mm2</v>
          </cell>
          <cell r="D248" t="str">
            <v>m</v>
          </cell>
          <cell r="E248">
            <v>3.83</v>
          </cell>
          <cell r="F248">
            <v>936.3</v>
          </cell>
        </row>
        <row r="249">
          <cell r="B249">
            <v>12.3</v>
          </cell>
          <cell r="C249" t="str">
            <v>C«ng t¸c l¾p ®Æt sø</v>
          </cell>
        </row>
        <row r="250">
          <cell r="B250" t="str">
            <v>04.2101</v>
          </cell>
          <cell r="C250" t="str">
            <v>L¾p ®Æt sø chuçi lo¹i &lt;= 2 b¸t / chuçi</v>
          </cell>
          <cell r="D250" t="str">
            <v>chuçi</v>
          </cell>
          <cell r="E250">
            <v>974</v>
          </cell>
          <cell r="F250">
            <v>5562</v>
          </cell>
        </row>
        <row r="251">
          <cell r="B251" t="str">
            <v>04.2102</v>
          </cell>
          <cell r="C251" t="str">
            <v>L¾p ®Æt sø chuçi lo¹i &lt;= 5 b¸t / chuçi</v>
          </cell>
          <cell r="D251" t="str">
            <v>chuçi</v>
          </cell>
          <cell r="E251">
            <v>1797</v>
          </cell>
          <cell r="F251">
            <v>13905</v>
          </cell>
        </row>
        <row r="252">
          <cell r="B252" t="str">
            <v>04.2103</v>
          </cell>
          <cell r="C252" t="str">
            <v>L¾p ®Æt sø chuçi lo¹i &lt;= 8 b¸t / chuçi</v>
          </cell>
          <cell r="D252" t="str">
            <v>chuçi</v>
          </cell>
          <cell r="E252">
            <v>2853</v>
          </cell>
          <cell r="F252">
            <v>21940</v>
          </cell>
        </row>
        <row r="253">
          <cell r="B253" t="str">
            <v>04.2201</v>
          </cell>
          <cell r="C253" t="str">
            <v>L¾p ®Æt sø ®øng 6 - 35 KV</v>
          </cell>
          <cell r="D253" t="str">
            <v>qu¶</v>
          </cell>
          <cell r="E253">
            <v>1797</v>
          </cell>
          <cell r="F253">
            <v>7107</v>
          </cell>
        </row>
        <row r="254">
          <cell r="B254" t="str">
            <v>04.2301</v>
          </cell>
          <cell r="C254" t="str">
            <v>L¾p ®Æt sø c¸ch ®iÖn xuyªn 6 - 35 KV</v>
          </cell>
          <cell r="D254" t="str">
            <v>qu¶</v>
          </cell>
          <cell r="E254">
            <v>3145</v>
          </cell>
          <cell r="F254">
            <v>19586</v>
          </cell>
        </row>
        <row r="255">
          <cell r="B255">
            <v>12.4</v>
          </cell>
          <cell r="C255" t="str">
            <v>C«ng t¸c l¾p ®Æt phô kiÖn</v>
          </cell>
        </row>
        <row r="256">
          <cell r="B256" t="str">
            <v>04.3105</v>
          </cell>
          <cell r="C256" t="str">
            <v>L¾p ®Æt kho¸ c¸c lo¹i</v>
          </cell>
          <cell r="D256" t="str">
            <v>bé</v>
          </cell>
          <cell r="E256">
            <v>875</v>
          </cell>
          <cell r="F256">
            <v>16996</v>
          </cell>
        </row>
        <row r="257">
          <cell r="B257" t="str">
            <v>04.3106</v>
          </cell>
          <cell r="C257" t="str">
            <v>L¾p ®Æt ®Çu Ðp</v>
          </cell>
          <cell r="D257" t="str">
            <v>bé</v>
          </cell>
          <cell r="E257">
            <v>875</v>
          </cell>
          <cell r="F257">
            <v>16996</v>
          </cell>
        </row>
        <row r="258">
          <cell r="B258" t="str">
            <v>04.3107</v>
          </cell>
          <cell r="C258" t="str">
            <v>L¾p ®Æt kÑp ®Þnh vÞ c¸c lo¹i</v>
          </cell>
          <cell r="D258" t="str">
            <v>bé</v>
          </cell>
          <cell r="E258">
            <v>875</v>
          </cell>
          <cell r="F258">
            <v>12978</v>
          </cell>
        </row>
        <row r="259">
          <cell r="B259" t="str">
            <v>04.3108</v>
          </cell>
          <cell r="C259" t="str">
            <v>L¾p ®Æt khung ®Þnh vÞ</v>
          </cell>
          <cell r="D259" t="str">
            <v>bé</v>
          </cell>
          <cell r="E259">
            <v>875</v>
          </cell>
          <cell r="F259">
            <v>16996</v>
          </cell>
        </row>
        <row r="260">
          <cell r="B260" t="str">
            <v>04.3109</v>
          </cell>
          <cell r="C260" t="str">
            <v>L¾p ®Æt phô kiÖn thanh c¸i</v>
          </cell>
          <cell r="D260" t="str">
            <v>bé</v>
          </cell>
          <cell r="E260">
            <v>875</v>
          </cell>
          <cell r="F260">
            <v>12978</v>
          </cell>
        </row>
        <row r="261">
          <cell r="B261">
            <v>12.5</v>
          </cell>
          <cell r="C261" t="str">
            <v>C«ng t¸c l¾p ®Æt c¸c lo¹i d©y dÉn xuèng thiÕt bÞ</v>
          </cell>
        </row>
        <row r="262">
          <cell r="C262" t="str">
            <v>D©y nh«m, AC</v>
          </cell>
        </row>
        <row r="263">
          <cell r="B263" t="str">
            <v>04.4101</v>
          </cell>
          <cell r="C263" t="str">
            <v>L¾p ®Æt d©y dÉn xuèng thiÕt bÞ &lt;= 95 mm2</v>
          </cell>
          <cell r="D263" t="str">
            <v>m</v>
          </cell>
          <cell r="E263">
            <v>1062</v>
          </cell>
          <cell r="F263">
            <v>927</v>
          </cell>
        </row>
        <row r="264">
          <cell r="B264" t="str">
            <v>04.4102</v>
          </cell>
          <cell r="C264" t="str">
            <v>L¾p ®Æt d©y dÉn xuèng thiÕt bÞ  &lt;= 150 mm2</v>
          </cell>
          <cell r="D264" t="str">
            <v>m</v>
          </cell>
          <cell r="E264">
            <v>1062</v>
          </cell>
          <cell r="F264">
            <v>2472</v>
          </cell>
        </row>
        <row r="265">
          <cell r="B265" t="str">
            <v>04.4103</v>
          </cell>
          <cell r="C265" t="str">
            <v>L¾p ®Æt d©y dÉn xuèng thiÕt bÞ  &lt;= 240 mm2</v>
          </cell>
          <cell r="D265" t="str">
            <v>m</v>
          </cell>
          <cell r="E265">
            <v>1152</v>
          </cell>
          <cell r="F265">
            <v>4017</v>
          </cell>
        </row>
        <row r="266">
          <cell r="B266" t="str">
            <v>04.4104</v>
          </cell>
          <cell r="C266" t="str">
            <v>L¾p ®Æt d©y dÉn xuèng thiÕt bÞ  &lt;= 400 mm2</v>
          </cell>
          <cell r="D266" t="str">
            <v>m</v>
          </cell>
          <cell r="E266">
            <v>1212</v>
          </cell>
          <cell r="F266">
            <v>7725</v>
          </cell>
        </row>
        <row r="267">
          <cell r="B267" t="str">
            <v>04.4105</v>
          </cell>
          <cell r="C267" t="str">
            <v>L¾p ®Æt d©y dÉn xuèng thiÕt bÞ  &lt;= 800 mm2</v>
          </cell>
          <cell r="D267" t="str">
            <v>m</v>
          </cell>
          <cell r="E267">
            <v>1362</v>
          </cell>
          <cell r="F267">
            <v>13287</v>
          </cell>
        </row>
        <row r="268">
          <cell r="C268" t="str">
            <v>D©y ®ång</v>
          </cell>
        </row>
        <row r="269">
          <cell r="B269" t="str">
            <v>04.4201</v>
          </cell>
          <cell r="C269" t="str">
            <v>L¾p ®Æt d©y dÉn xuèng thiÕt bÞ , d©y ®ång &lt;= 95 mm2</v>
          </cell>
          <cell r="D269" t="str">
            <v>m</v>
          </cell>
          <cell r="E269">
            <v>1062</v>
          </cell>
          <cell r="F269">
            <v>1854</v>
          </cell>
        </row>
        <row r="270">
          <cell r="B270" t="str">
            <v>04.4202</v>
          </cell>
          <cell r="C270" t="str">
            <v>L¾p ®Æt d©y dÉn xuèng thiÕt bÞ , d©y ®ång &lt;= 150 mm2</v>
          </cell>
          <cell r="D270" t="str">
            <v>m</v>
          </cell>
          <cell r="E270">
            <v>1062</v>
          </cell>
          <cell r="F270">
            <v>4944</v>
          </cell>
        </row>
        <row r="271">
          <cell r="B271" t="str">
            <v>04.4203</v>
          </cell>
          <cell r="C271" t="str">
            <v>L¾p ®Æt d©y dÉn xuèng thiÕt bÞ , d©y ®ång &gt; 240 mm2</v>
          </cell>
          <cell r="D271" t="str">
            <v>m</v>
          </cell>
          <cell r="E271">
            <v>1152</v>
          </cell>
          <cell r="F271">
            <v>6180</v>
          </cell>
        </row>
        <row r="272">
          <cell r="B272">
            <v>12.6</v>
          </cell>
          <cell r="C272" t="str">
            <v>C«ng t¸c l¾p ®Æt c¸c lo¹i thanh c¸i dÑt + èng</v>
          </cell>
        </row>
        <row r="273">
          <cell r="B273" t="str">
            <v>04.5101</v>
          </cell>
          <cell r="C273" t="str">
            <v>L¾p ®Æt thanh dÑt 25 x 4 mm</v>
          </cell>
          <cell r="D273" t="str">
            <v>m</v>
          </cell>
          <cell r="E273">
            <v>315</v>
          </cell>
          <cell r="F273">
            <v>2163.1</v>
          </cell>
          <cell r="G273">
            <v>353</v>
          </cell>
        </row>
        <row r="274">
          <cell r="B274" t="str">
            <v>04.5102</v>
          </cell>
          <cell r="C274" t="str">
            <v>L¾p ®Æt thanh dÑt 40 x 4 mm</v>
          </cell>
          <cell r="D274" t="str">
            <v>m</v>
          </cell>
          <cell r="E274">
            <v>330</v>
          </cell>
          <cell r="F274">
            <v>3028.3</v>
          </cell>
          <cell r="G274">
            <v>353</v>
          </cell>
        </row>
        <row r="275">
          <cell r="B275" t="str">
            <v>04.5103</v>
          </cell>
          <cell r="C275" t="str">
            <v>L¾p ®Æt thanh dÑt 60 x 6 mm</v>
          </cell>
          <cell r="D275" t="str">
            <v>m</v>
          </cell>
          <cell r="E275">
            <v>345</v>
          </cell>
          <cell r="F275">
            <v>3491.8</v>
          </cell>
          <cell r="G275">
            <v>353</v>
          </cell>
        </row>
        <row r="276">
          <cell r="B276" t="str">
            <v>04.5104</v>
          </cell>
          <cell r="C276" t="str">
            <v>L¾p ®Æt thanh dÑt 80 x 8 mm</v>
          </cell>
          <cell r="D276" t="str">
            <v>m</v>
          </cell>
          <cell r="E276">
            <v>354</v>
          </cell>
          <cell r="F276">
            <v>4264.3</v>
          </cell>
          <cell r="G276">
            <v>353</v>
          </cell>
        </row>
        <row r="277">
          <cell r="B277" t="str">
            <v>04.5105</v>
          </cell>
          <cell r="C277" t="str">
            <v>L¾p ®Æt thanh dÑt 100 x 10 mm</v>
          </cell>
          <cell r="D277" t="str">
            <v>m</v>
          </cell>
          <cell r="E277">
            <v>366</v>
          </cell>
          <cell r="F277">
            <v>6180.2</v>
          </cell>
          <cell r="G277">
            <v>353</v>
          </cell>
        </row>
        <row r="278">
          <cell r="B278" t="str">
            <v>04.5201</v>
          </cell>
          <cell r="C278" t="str">
            <v>L¾p ®Æt èng &lt; 80 mm</v>
          </cell>
          <cell r="D278" t="str">
            <v>m</v>
          </cell>
          <cell r="E278">
            <v>366</v>
          </cell>
          <cell r="F278">
            <v>5407.7</v>
          </cell>
          <cell r="G278">
            <v>353</v>
          </cell>
        </row>
        <row r="279">
          <cell r="B279" t="str">
            <v>04.5202</v>
          </cell>
          <cell r="C279" t="str">
            <v>L¾p ®Æt èng &lt; 100 mm</v>
          </cell>
          <cell r="D279" t="str">
            <v>m</v>
          </cell>
          <cell r="E279">
            <v>375</v>
          </cell>
          <cell r="F279">
            <v>6798.2</v>
          </cell>
          <cell r="G279">
            <v>353</v>
          </cell>
        </row>
        <row r="280">
          <cell r="B280">
            <v>12.7</v>
          </cell>
          <cell r="C280" t="str">
            <v>C«ng t¸c l¾p ®Æt cäc , d©y tiÕp ®Þa</v>
          </cell>
        </row>
        <row r="281">
          <cell r="A281" t="str">
            <v>L2.5,C.2</v>
          </cell>
          <cell r="B281" t="str">
            <v>04.7001</v>
          </cell>
          <cell r="C281" t="str">
            <v>§ãng cäc tiÕp ®Þa ( cäc cã s½n ) ®é s©u 2,5 m; ®Êt cÊp &lt;=2</v>
          </cell>
          <cell r="D281" t="str">
            <v>cäc</v>
          </cell>
          <cell r="E281">
            <v>2054</v>
          </cell>
          <cell r="F281">
            <v>10506</v>
          </cell>
        </row>
        <row r="282">
          <cell r="A282" t="str">
            <v>L2.5,C.3</v>
          </cell>
          <cell r="B282" t="str">
            <v>04.7001</v>
          </cell>
          <cell r="C282" t="str">
            <v>§ãng cäc tiÕp ®Þa ( cäc cã s½n ) ®é s©u 2,5 m; ®Êt cÊp =&gt;3</v>
          </cell>
          <cell r="D282" t="str">
            <v>cäc</v>
          </cell>
          <cell r="E282">
            <v>2054</v>
          </cell>
          <cell r="F282">
            <v>17860.2</v>
          </cell>
          <cell r="G282">
            <v>1248.9650349650351</v>
          </cell>
        </row>
        <row r="283">
          <cell r="A283" t="str">
            <v>L2,C.2</v>
          </cell>
          <cell r="B283" t="str">
            <v>04.7001</v>
          </cell>
          <cell r="C283" t="str">
            <v>§ãng cäc tiÕp ®Þa ( cäc cã s½n ) ®é s©u 2 m; ®Êt cÊp &lt;=2</v>
          </cell>
          <cell r="D283" t="str">
            <v>cäc</v>
          </cell>
          <cell r="E283">
            <v>1643.2</v>
          </cell>
          <cell r="F283">
            <v>8404.7999999999993</v>
          </cell>
        </row>
        <row r="284">
          <cell r="A284" t="str">
            <v>L2,C.3</v>
          </cell>
          <cell r="B284" t="str">
            <v>04.7001</v>
          </cell>
          <cell r="C284" t="str">
            <v>§ãng cäc tiÕp ®Þa ( cäc cã s½n ) ®é s©u 2 m; ®Êt cÊp =&gt;3</v>
          </cell>
          <cell r="D284" t="str">
            <v>cäc</v>
          </cell>
          <cell r="E284">
            <v>1643.2</v>
          </cell>
          <cell r="F284">
            <v>14288.16</v>
          </cell>
          <cell r="G284">
            <v>999.17202797202799</v>
          </cell>
        </row>
        <row r="285">
          <cell r="A285" t="str">
            <v>DTD</v>
          </cell>
          <cell r="B285" t="str">
            <v>04.7002</v>
          </cell>
          <cell r="C285" t="str">
            <v>S xuÊt vµ r·i d©y tiÕp ®Þa ( cã s½n )</v>
          </cell>
          <cell r="D285" t="str">
            <v>m</v>
          </cell>
          <cell r="E285">
            <v>202.4</v>
          </cell>
          <cell r="F285">
            <v>883.8</v>
          </cell>
          <cell r="G285">
            <v>1239.2</v>
          </cell>
        </row>
        <row r="286">
          <cell r="B286">
            <v>12.8</v>
          </cell>
          <cell r="C286" t="str">
            <v>C«ng t¸c l¾p ®Æt gÝa ®ì, ghÕ c¸ch ®iÖn, èng b¶o vÖ</v>
          </cell>
        </row>
        <row r="287">
          <cell r="B287" t="str">
            <v>04.8101</v>
          </cell>
          <cell r="C287" t="str">
            <v>L¾p ®Æt ghÕ c¸ch ®iÖn, thang, sµn thao t¸c</v>
          </cell>
          <cell r="D287" t="str">
            <v>Kg</v>
          </cell>
          <cell r="F287">
            <v>344.67</v>
          </cell>
        </row>
        <row r="288">
          <cell r="B288" t="str">
            <v>04.8102</v>
          </cell>
          <cell r="C288" t="str">
            <v>GÝa ®ì</v>
          </cell>
          <cell r="D288" t="str">
            <v>Kg</v>
          </cell>
          <cell r="F288">
            <v>313.33600000000001</v>
          </cell>
        </row>
        <row r="289">
          <cell r="B289" t="str">
            <v>04.8103</v>
          </cell>
          <cell r="C289" t="str">
            <v>èng PVC</v>
          </cell>
          <cell r="D289" t="str">
            <v>m</v>
          </cell>
          <cell r="E289">
            <v>674</v>
          </cell>
          <cell r="F289">
            <v>4635.2</v>
          </cell>
        </row>
        <row r="290">
          <cell r="B290" t="str">
            <v>04.8104</v>
          </cell>
          <cell r="C290" t="str">
            <v>èng thÐp</v>
          </cell>
          <cell r="D290" t="str">
            <v>m</v>
          </cell>
          <cell r="E290">
            <v>674</v>
          </cell>
          <cell r="F290">
            <v>9270.2999999999993</v>
          </cell>
        </row>
        <row r="291">
          <cell r="C291" t="str">
            <v>§G : 04.8101; 04.8102 tÝnh cho &gt; 200 Kg; &lt;= 200 Kg, DGNCx1.15; &lt;= 100 Kg, DGNCx1.3</v>
          </cell>
        </row>
        <row r="292">
          <cell r="B292">
            <v>12.9</v>
          </cell>
          <cell r="C292" t="str">
            <v>C«ng t¸c l¾p ®Æt kÕt cÊu thÐp</v>
          </cell>
        </row>
        <row r="293">
          <cell r="B293" t="str">
            <v>04.9102</v>
          </cell>
          <cell r="C293" t="str">
            <v>L¾p ®Æt xµ thÐp</v>
          </cell>
          <cell r="D293" t="str">
            <v>Kg</v>
          </cell>
          <cell r="E293">
            <v>12.393000000000001</v>
          </cell>
          <cell r="F293">
            <v>365.459</v>
          </cell>
        </row>
        <row r="294">
          <cell r="B294" t="str">
            <v>04.9203</v>
          </cell>
          <cell r="C294" t="str">
            <v>L¾p dùng cét bª t«ng</v>
          </cell>
          <cell r="D294" t="str">
            <v>cét</v>
          </cell>
          <cell r="E294">
            <v>11373</v>
          </cell>
          <cell r="F294">
            <v>140357</v>
          </cell>
          <cell r="G294">
            <v>132462</v>
          </cell>
        </row>
        <row r="295">
          <cell r="B295" t="str">
            <v>04.9301</v>
          </cell>
          <cell r="C295" t="str">
            <v>L¾p trô ®ì bª t«ng</v>
          </cell>
          <cell r="D295" t="str">
            <v>cét</v>
          </cell>
          <cell r="E295">
            <v>11373</v>
          </cell>
          <cell r="F295">
            <v>54436</v>
          </cell>
          <cell r="G295">
            <v>66231</v>
          </cell>
        </row>
        <row r="296">
          <cell r="B296" t="str">
            <v>04.9302</v>
          </cell>
          <cell r="C296" t="str">
            <v>L¾p trô ®ì thÐp</v>
          </cell>
          <cell r="D296" t="str">
            <v>Kg</v>
          </cell>
          <cell r="E296">
            <v>9.3330000000000002</v>
          </cell>
          <cell r="F296">
            <v>332.20800000000003</v>
          </cell>
        </row>
        <row r="297">
          <cell r="C297" t="str">
            <v>NÕu cét BT &lt; 20 m th× DGNCx0.8</v>
          </cell>
        </row>
        <row r="298">
          <cell r="C298" t="str">
            <v>§¬n gi¸ xµ, trô thÐp &gt; 200 Kg; NÕu xµ, trô thÐp &lt;= 200 Kg, DGNCx1.15; xµ, trô thÐp &lt;= 100 Kg, DGNCx1.3</v>
          </cell>
        </row>
        <row r="299">
          <cell r="B299">
            <v>13</v>
          </cell>
          <cell r="C299" t="str">
            <v>C«ng t¸c l¾p ®Æt tñ ®iÖn c¸c lo¹i; tue ®iÒu khiÓn, b¶o vÖ, tñ chiÕu s¸ng</v>
          </cell>
        </row>
        <row r="300">
          <cell r="B300">
            <v>13.1</v>
          </cell>
          <cell r="C300" t="str">
            <v>C«ng t¸c l¾p ®Æt tñ ®iÖn h¹ thÕ</v>
          </cell>
        </row>
        <row r="301">
          <cell r="A301" t="str">
            <v>T§AC-1f</v>
          </cell>
          <cell r="B301" t="str">
            <v>05.1101</v>
          </cell>
          <cell r="C301" t="str">
            <v>L¾p ®Æt tñ ®iÖn xoay chiÒu 1 pha</v>
          </cell>
          <cell r="D301" t="str">
            <v>tñ</v>
          </cell>
          <cell r="E301">
            <v>44163</v>
          </cell>
          <cell r="F301">
            <v>85158</v>
          </cell>
          <cell r="G301">
            <v>59254</v>
          </cell>
        </row>
        <row r="302">
          <cell r="A302" t="str">
            <v>T§AC-3f</v>
          </cell>
          <cell r="B302" t="str">
            <v>05.1102</v>
          </cell>
          <cell r="C302" t="str">
            <v>L¾p ®Æt tñ ®iÖn xoay chiÒu 3 pha</v>
          </cell>
          <cell r="D302" t="str">
            <v>tñ</v>
          </cell>
          <cell r="E302">
            <v>44823</v>
          </cell>
          <cell r="F302">
            <v>98101</v>
          </cell>
          <cell r="G302">
            <v>59254</v>
          </cell>
        </row>
        <row r="303">
          <cell r="A303" t="str">
            <v>T§DC</v>
          </cell>
          <cell r="B303" t="str">
            <v>05.1103</v>
          </cell>
          <cell r="C303" t="str">
            <v>L¾p ®Æt tñ nguån 1 chiÒu</v>
          </cell>
          <cell r="D303" t="str">
            <v>tñ</v>
          </cell>
          <cell r="E303">
            <v>44163</v>
          </cell>
          <cell r="F303">
            <v>85158</v>
          </cell>
          <cell r="G303">
            <v>59254</v>
          </cell>
        </row>
        <row r="304">
          <cell r="A304" t="str">
            <v>T§-DCL</v>
          </cell>
          <cell r="B304" t="str">
            <v>05.1104</v>
          </cell>
          <cell r="C304" t="str">
            <v>Tñ ®iÒu khiÓn dao c¸ch ly</v>
          </cell>
          <cell r="D304" t="str">
            <v>tñ</v>
          </cell>
          <cell r="E304">
            <v>43140</v>
          </cell>
          <cell r="F304">
            <v>85158</v>
          </cell>
        </row>
        <row r="305">
          <cell r="A305" t="str">
            <v>T§-MC</v>
          </cell>
          <cell r="B305" t="str">
            <v>05.1105</v>
          </cell>
          <cell r="C305" t="str">
            <v>Tñ ®iÒu khiÓn m¸y c¾t, tñ ®Êu d©y</v>
          </cell>
          <cell r="D305" t="str">
            <v>tñ</v>
          </cell>
          <cell r="E305">
            <v>43140</v>
          </cell>
          <cell r="F305">
            <v>97761</v>
          </cell>
          <cell r="G305">
            <v>65195</v>
          </cell>
        </row>
        <row r="306">
          <cell r="B306">
            <v>13.2</v>
          </cell>
          <cell r="C306" t="str">
            <v>C«ng t¸c l¾p ®Æt tñ ®iÌu khiÓn, b¶o vÖ, ®o l­êng</v>
          </cell>
        </row>
        <row r="307">
          <cell r="B307" t="str">
            <v>05.3101</v>
          </cell>
          <cell r="C307" t="str">
            <v>L¾p ®Æt tñ ®iÒu khiÓn m¸y biÕn ®iÖn ¸p &lt;= 35 KV</v>
          </cell>
          <cell r="D307" t="str">
            <v>tñ</v>
          </cell>
          <cell r="E307">
            <v>4500</v>
          </cell>
          <cell r="F307">
            <v>153284</v>
          </cell>
          <cell r="G307">
            <v>74068</v>
          </cell>
        </row>
        <row r="308">
          <cell r="B308" t="str">
            <v>05.3105</v>
          </cell>
          <cell r="C308" t="str">
            <v>L¾p ®Æt tñ ®iÒu khiÓn ®­êng d©y; ®iÖn ¸p &lt;= 35 KV</v>
          </cell>
          <cell r="D308" t="str">
            <v>tñ</v>
          </cell>
          <cell r="E308">
            <v>4500</v>
          </cell>
          <cell r="F308">
            <v>137955</v>
          </cell>
          <cell r="G308">
            <v>74068</v>
          </cell>
        </row>
        <row r="309">
          <cell r="B309" t="str">
            <v>05.3201</v>
          </cell>
          <cell r="C309" t="str">
            <v>L¾p ®Æt tñ b¶o vÖ m¸y biÕn ¸p; ®iÖn ¸p &lt;= 35 KV</v>
          </cell>
          <cell r="D309" t="str">
            <v>tñ</v>
          </cell>
          <cell r="E309">
            <v>4500</v>
          </cell>
          <cell r="F309">
            <v>145619</v>
          </cell>
          <cell r="G309">
            <v>74068</v>
          </cell>
        </row>
        <row r="310">
          <cell r="B310" t="str">
            <v>05.3205</v>
          </cell>
          <cell r="C310" t="str">
            <v>L¾p ®Æt tñ b¶o vÖ ®­êng d©y; ®iÖn ¸p &lt;= 35 KV</v>
          </cell>
          <cell r="D310" t="str">
            <v>tñ</v>
          </cell>
          <cell r="E310">
            <v>4500</v>
          </cell>
          <cell r="F310">
            <v>131057</v>
          </cell>
          <cell r="G310">
            <v>74068</v>
          </cell>
        </row>
        <row r="311">
          <cell r="B311" t="str">
            <v>05.3301</v>
          </cell>
          <cell r="C311" t="str">
            <v>L¾p ®Æt tñ ®o l­êng; ®iÖn ¸p &lt;= 35 KV</v>
          </cell>
          <cell r="D311" t="str">
            <v>tñ</v>
          </cell>
          <cell r="E311">
            <v>4500</v>
          </cell>
          <cell r="F311">
            <v>145619</v>
          </cell>
          <cell r="G311">
            <v>74068</v>
          </cell>
        </row>
        <row r="312">
          <cell r="C312" t="str">
            <v xml:space="preserve">§¬n gi¸ tÝnh riªng cho tõng tñ, tr­êng hîp l¾p tñ ghÐp ®­îc tÝnh nh­ tñ riªng t­¬ng øng  </v>
          </cell>
        </row>
        <row r="313">
          <cell r="B313">
            <v>13.3</v>
          </cell>
          <cell r="C313" t="str">
            <v>C«ng t¸c l¾p ®Æt hÖ thèng chiÕu s¸ng</v>
          </cell>
        </row>
        <row r="314">
          <cell r="B314" t="str">
            <v>05.4101</v>
          </cell>
          <cell r="C314" t="str">
            <v xml:space="preserve">L¾p ®Ìn pha trªn cét, ®é cao &lt;= 20 m </v>
          </cell>
          <cell r="D314" t="str">
            <v>Bé</v>
          </cell>
          <cell r="E314">
            <v>1023</v>
          </cell>
          <cell r="F314">
            <v>40876</v>
          </cell>
        </row>
        <row r="315">
          <cell r="B315" t="str">
            <v>05.4102</v>
          </cell>
          <cell r="C315" t="str">
            <v>L¾p ®Ìn h×nh cÇu</v>
          </cell>
          <cell r="D315" t="str">
            <v>Bé</v>
          </cell>
          <cell r="E315">
            <v>847</v>
          </cell>
          <cell r="F315">
            <v>13625</v>
          </cell>
        </row>
        <row r="316">
          <cell r="B316" t="str">
            <v>05.4103</v>
          </cell>
          <cell r="C316" t="str">
            <v>L¾p ®Ìn chiÕu s¸ng b×nh th­êng</v>
          </cell>
          <cell r="D316" t="str">
            <v>Bé</v>
          </cell>
          <cell r="E316">
            <v>760</v>
          </cell>
          <cell r="F316">
            <v>4088</v>
          </cell>
        </row>
        <row r="317">
          <cell r="B317" t="str">
            <v>05.4106</v>
          </cell>
          <cell r="C317" t="str">
            <v xml:space="preserve">L¾p ®Æt thiÕt bÞ tù ®éng cho hÖ thèng chiÕu s¸ng </v>
          </cell>
          <cell r="D317" t="str">
            <v>Bé</v>
          </cell>
          <cell r="E317">
            <v>541</v>
          </cell>
          <cell r="F317">
            <v>7494</v>
          </cell>
        </row>
        <row r="318">
          <cell r="B318" t="str">
            <v>05.4201</v>
          </cell>
          <cell r="C318" t="str">
            <v xml:space="preserve">L¾p ®Æt cét chiÕu s¸ng </v>
          </cell>
          <cell r="D318" t="str">
            <v>Bé</v>
          </cell>
          <cell r="E318">
            <v>1391</v>
          </cell>
          <cell r="F318">
            <v>51095</v>
          </cell>
          <cell r="G318">
            <v>81494</v>
          </cell>
        </row>
        <row r="319">
          <cell r="B319" t="str">
            <v>05.4202</v>
          </cell>
          <cell r="C319" t="str">
            <v xml:space="preserve">L¾p cÇn ®Ìn c¸c lo¹i </v>
          </cell>
          <cell r="D319" t="str">
            <v>Bé</v>
          </cell>
          <cell r="E319">
            <v>584</v>
          </cell>
          <cell r="F319">
            <v>6813</v>
          </cell>
        </row>
        <row r="320">
          <cell r="B320">
            <v>13.4</v>
          </cell>
          <cell r="C320" t="str">
            <v>C«ng t¸c l¾p ®Æt r¬ le, khãa ®iÒu khiÓn</v>
          </cell>
        </row>
        <row r="321">
          <cell r="B321" t="str">
            <v>05.5101</v>
          </cell>
          <cell r="C321" t="str">
            <v>L¾p ®Æt r¬ le c¸c lo¹i</v>
          </cell>
          <cell r="D321" t="str">
            <v>c¸i</v>
          </cell>
          <cell r="E321">
            <v>394</v>
          </cell>
          <cell r="F321">
            <v>17032</v>
          </cell>
        </row>
        <row r="322">
          <cell r="B322" t="str">
            <v>05.5102</v>
          </cell>
          <cell r="C322" t="str">
            <v>L¾p ®Æt b¸o hiÖu chu«ng</v>
          </cell>
          <cell r="D322" t="str">
            <v>c¸i</v>
          </cell>
          <cell r="E322">
            <v>394</v>
          </cell>
          <cell r="F322">
            <v>7494</v>
          </cell>
        </row>
        <row r="323">
          <cell r="B323" t="str">
            <v>05.5103</v>
          </cell>
          <cell r="C323" t="str">
            <v>L¾p ®Æt khãa ®iÒu khiÓn</v>
          </cell>
          <cell r="D323" t="str">
            <v>c¸i</v>
          </cell>
          <cell r="E323">
            <v>394</v>
          </cell>
          <cell r="F323">
            <v>7494</v>
          </cell>
        </row>
        <row r="324">
          <cell r="B324" t="str">
            <v>05.5104</v>
          </cell>
          <cell r="C324" t="str">
            <v>L¾p ®Æt thiÕt bÞ ®o ®Õm c¸c lo¹i</v>
          </cell>
          <cell r="D324" t="str">
            <v>c¸i</v>
          </cell>
          <cell r="E324">
            <v>394</v>
          </cell>
          <cell r="F324">
            <v>7494</v>
          </cell>
        </row>
      </sheetData>
      <sheetData sheetId="5" refreshError="1">
        <row r="5">
          <cell r="A5">
            <v>1</v>
          </cell>
          <cell r="B5">
            <v>5600</v>
          </cell>
          <cell r="C5">
            <v>6664</v>
          </cell>
          <cell r="D5">
            <v>9796</v>
          </cell>
          <cell r="E5">
            <v>14204</v>
          </cell>
          <cell r="F5">
            <v>20596</v>
          </cell>
          <cell r="G5">
            <v>24715.200000000001</v>
          </cell>
        </row>
        <row r="6">
          <cell r="A6">
            <v>2</v>
          </cell>
          <cell r="B6">
            <v>3100</v>
          </cell>
          <cell r="C6">
            <v>3689</v>
          </cell>
          <cell r="D6">
            <v>5423</v>
          </cell>
          <cell r="E6">
            <v>7863</v>
          </cell>
          <cell r="F6">
            <v>11402</v>
          </cell>
          <cell r="G6">
            <v>13682.4</v>
          </cell>
        </row>
        <row r="7">
          <cell r="A7">
            <v>3</v>
          </cell>
          <cell r="B7">
            <v>2230</v>
          </cell>
          <cell r="C7">
            <v>2654</v>
          </cell>
          <cell r="D7">
            <v>3901</v>
          </cell>
          <cell r="E7">
            <v>5656</v>
          </cell>
          <cell r="F7">
            <v>8202</v>
          </cell>
          <cell r="G7">
            <v>9842.4</v>
          </cell>
        </row>
        <row r="8">
          <cell r="A8">
            <v>4</v>
          </cell>
          <cell r="B8">
            <v>1825</v>
          </cell>
          <cell r="C8">
            <v>2172</v>
          </cell>
          <cell r="D8">
            <v>3192</v>
          </cell>
          <cell r="E8">
            <v>4629</v>
          </cell>
          <cell r="F8">
            <v>6712</v>
          </cell>
          <cell r="G8">
            <v>8054.4</v>
          </cell>
        </row>
        <row r="9">
          <cell r="A9">
            <v>5</v>
          </cell>
          <cell r="B9">
            <v>1600</v>
          </cell>
          <cell r="C9">
            <v>1904</v>
          </cell>
          <cell r="D9">
            <v>2799</v>
          </cell>
          <cell r="E9">
            <v>4058</v>
          </cell>
          <cell r="F9">
            <v>5885</v>
          </cell>
          <cell r="G9">
            <v>7062</v>
          </cell>
        </row>
        <row r="10">
          <cell r="A10">
            <v>6</v>
          </cell>
          <cell r="B10">
            <v>1446</v>
          </cell>
          <cell r="C10">
            <v>1721</v>
          </cell>
          <cell r="D10">
            <v>2529</v>
          </cell>
          <cell r="E10">
            <v>3668</v>
          </cell>
          <cell r="F10">
            <v>5318</v>
          </cell>
          <cell r="G10">
            <v>6381.5999999999995</v>
          </cell>
        </row>
        <row r="11">
          <cell r="A11">
            <v>7</v>
          </cell>
          <cell r="B11">
            <v>1333</v>
          </cell>
          <cell r="C11">
            <v>1586</v>
          </cell>
          <cell r="D11">
            <v>2332</v>
          </cell>
          <cell r="E11">
            <v>3381</v>
          </cell>
          <cell r="F11">
            <v>4903</v>
          </cell>
          <cell r="G11">
            <v>5883.5999999999995</v>
          </cell>
        </row>
        <row r="12">
          <cell r="A12">
            <v>8</v>
          </cell>
          <cell r="B12">
            <v>1245</v>
          </cell>
          <cell r="C12">
            <v>1482</v>
          </cell>
          <cell r="D12">
            <v>2178</v>
          </cell>
          <cell r="E12">
            <v>3158</v>
          </cell>
          <cell r="F12">
            <v>4579</v>
          </cell>
          <cell r="G12">
            <v>5494.8</v>
          </cell>
        </row>
        <row r="13">
          <cell r="A13">
            <v>9</v>
          </cell>
          <cell r="B13">
            <v>1173</v>
          </cell>
          <cell r="C13">
            <v>1396</v>
          </cell>
          <cell r="D13">
            <v>2052</v>
          </cell>
          <cell r="E13">
            <v>2975</v>
          </cell>
          <cell r="F13">
            <v>4314</v>
          </cell>
          <cell r="G13">
            <v>5176.8</v>
          </cell>
        </row>
        <row r="14">
          <cell r="A14">
            <v>10</v>
          </cell>
          <cell r="B14">
            <v>1114</v>
          </cell>
          <cell r="C14">
            <v>1326</v>
          </cell>
          <cell r="D14">
            <v>1949</v>
          </cell>
          <cell r="E14">
            <v>2826</v>
          </cell>
          <cell r="F14">
            <v>4097</v>
          </cell>
          <cell r="G14">
            <v>4916.3999999999996</v>
          </cell>
        </row>
        <row r="15">
          <cell r="A15">
            <v>11</v>
          </cell>
          <cell r="B15">
            <v>1063</v>
          </cell>
          <cell r="C15">
            <v>1265</v>
          </cell>
          <cell r="D15">
            <v>1860</v>
          </cell>
          <cell r="E15">
            <v>2696</v>
          </cell>
          <cell r="F15">
            <v>3910</v>
          </cell>
          <cell r="G15">
            <v>4692</v>
          </cell>
        </row>
        <row r="16">
          <cell r="A16">
            <v>12</v>
          </cell>
          <cell r="B16">
            <v>1016</v>
          </cell>
          <cell r="C16">
            <v>1209</v>
          </cell>
          <cell r="D16">
            <v>1777</v>
          </cell>
          <cell r="E16">
            <v>2577</v>
          </cell>
          <cell r="F16">
            <v>3737</v>
          </cell>
          <cell r="G16">
            <v>4484.3999999999996</v>
          </cell>
        </row>
        <row r="17">
          <cell r="A17">
            <v>13</v>
          </cell>
          <cell r="B17">
            <v>968</v>
          </cell>
          <cell r="C17">
            <v>1152</v>
          </cell>
          <cell r="D17">
            <v>1693</v>
          </cell>
          <cell r="E17">
            <v>2455</v>
          </cell>
          <cell r="F17">
            <v>3560</v>
          </cell>
          <cell r="G17">
            <v>4272</v>
          </cell>
        </row>
        <row r="18">
          <cell r="A18">
            <v>14</v>
          </cell>
          <cell r="B18">
            <v>924</v>
          </cell>
          <cell r="C18">
            <v>1100</v>
          </cell>
          <cell r="D18">
            <v>1616</v>
          </cell>
          <cell r="E18">
            <v>2344</v>
          </cell>
          <cell r="F18">
            <v>3398</v>
          </cell>
          <cell r="G18">
            <v>4077.6</v>
          </cell>
        </row>
        <row r="19">
          <cell r="A19">
            <v>15</v>
          </cell>
          <cell r="B19">
            <v>883</v>
          </cell>
          <cell r="C19">
            <v>1051</v>
          </cell>
          <cell r="D19">
            <v>1545</v>
          </cell>
          <cell r="E19">
            <v>2240</v>
          </cell>
          <cell r="F19">
            <v>3248</v>
          </cell>
          <cell r="G19">
            <v>3897.6</v>
          </cell>
        </row>
        <row r="20">
          <cell r="A20">
            <v>16</v>
          </cell>
          <cell r="B20">
            <v>846</v>
          </cell>
          <cell r="C20">
            <v>1007</v>
          </cell>
          <cell r="D20">
            <v>1480</v>
          </cell>
          <cell r="E20">
            <v>2146</v>
          </cell>
          <cell r="F20">
            <v>3112</v>
          </cell>
          <cell r="G20">
            <v>3734.3999999999996</v>
          </cell>
        </row>
        <row r="21">
          <cell r="A21">
            <v>17</v>
          </cell>
          <cell r="B21">
            <v>820</v>
          </cell>
          <cell r="C21">
            <v>976</v>
          </cell>
          <cell r="D21">
            <v>1434</v>
          </cell>
          <cell r="E21">
            <v>2080</v>
          </cell>
          <cell r="F21">
            <v>3016</v>
          </cell>
          <cell r="G21">
            <v>3619.2</v>
          </cell>
        </row>
        <row r="22">
          <cell r="A22">
            <v>18</v>
          </cell>
          <cell r="B22">
            <v>799</v>
          </cell>
          <cell r="C22">
            <v>951</v>
          </cell>
          <cell r="D22">
            <v>1398</v>
          </cell>
          <cell r="E22">
            <v>2027</v>
          </cell>
          <cell r="F22">
            <v>2939</v>
          </cell>
          <cell r="G22">
            <v>3526.7999999999997</v>
          </cell>
        </row>
        <row r="23">
          <cell r="A23">
            <v>19</v>
          </cell>
          <cell r="B23">
            <v>776</v>
          </cell>
          <cell r="C23">
            <v>923</v>
          </cell>
          <cell r="D23">
            <v>1357</v>
          </cell>
          <cell r="E23">
            <v>1968</v>
          </cell>
          <cell r="F23">
            <v>2854</v>
          </cell>
          <cell r="G23">
            <v>3424.7999999999997</v>
          </cell>
        </row>
        <row r="24">
          <cell r="A24">
            <v>20</v>
          </cell>
          <cell r="B24">
            <v>750</v>
          </cell>
          <cell r="C24">
            <v>893</v>
          </cell>
          <cell r="D24">
            <v>1312</v>
          </cell>
          <cell r="E24">
            <v>1902</v>
          </cell>
          <cell r="F24">
            <v>2758</v>
          </cell>
          <cell r="G24">
            <v>3309.6</v>
          </cell>
        </row>
        <row r="25">
          <cell r="A25">
            <v>21</v>
          </cell>
          <cell r="B25">
            <v>720</v>
          </cell>
          <cell r="C25">
            <v>857</v>
          </cell>
          <cell r="D25">
            <v>1259</v>
          </cell>
          <cell r="E25">
            <v>1826</v>
          </cell>
          <cell r="F25">
            <v>2648</v>
          </cell>
          <cell r="G25">
            <v>3177.6</v>
          </cell>
        </row>
        <row r="26">
          <cell r="A26">
            <v>22</v>
          </cell>
          <cell r="B26">
            <v>692</v>
          </cell>
          <cell r="C26">
            <v>823</v>
          </cell>
          <cell r="D26">
            <v>1211</v>
          </cell>
          <cell r="E26">
            <v>1755</v>
          </cell>
          <cell r="F26">
            <v>2545</v>
          </cell>
          <cell r="G26">
            <v>3054</v>
          </cell>
        </row>
        <row r="27">
          <cell r="A27">
            <v>23</v>
          </cell>
          <cell r="B27">
            <v>667</v>
          </cell>
          <cell r="C27">
            <v>794</v>
          </cell>
          <cell r="D27">
            <v>1167</v>
          </cell>
          <cell r="E27">
            <v>1692</v>
          </cell>
          <cell r="F27">
            <v>2453</v>
          </cell>
          <cell r="G27">
            <v>2943.6</v>
          </cell>
        </row>
        <row r="28">
          <cell r="A28">
            <v>24</v>
          </cell>
          <cell r="B28">
            <v>645</v>
          </cell>
          <cell r="C28">
            <v>768</v>
          </cell>
          <cell r="D28">
            <v>1128</v>
          </cell>
          <cell r="E28">
            <v>1636</v>
          </cell>
          <cell r="F28">
            <v>2372</v>
          </cell>
          <cell r="G28">
            <v>2846.4</v>
          </cell>
        </row>
        <row r="29">
          <cell r="A29">
            <v>25</v>
          </cell>
          <cell r="B29">
            <v>624</v>
          </cell>
          <cell r="C29">
            <v>743</v>
          </cell>
          <cell r="D29">
            <v>1092</v>
          </cell>
          <cell r="E29">
            <v>1583</v>
          </cell>
          <cell r="F29">
            <v>2295</v>
          </cell>
          <cell r="G29">
            <v>2754</v>
          </cell>
        </row>
        <row r="30">
          <cell r="A30">
            <v>26</v>
          </cell>
          <cell r="B30">
            <v>604</v>
          </cell>
          <cell r="C30">
            <v>719</v>
          </cell>
          <cell r="D30">
            <v>1057</v>
          </cell>
          <cell r="E30">
            <v>1532</v>
          </cell>
          <cell r="F30">
            <v>2221</v>
          </cell>
          <cell r="G30">
            <v>2665.2</v>
          </cell>
        </row>
        <row r="31">
          <cell r="A31">
            <v>27</v>
          </cell>
          <cell r="B31">
            <v>584</v>
          </cell>
          <cell r="C31">
            <v>695</v>
          </cell>
          <cell r="D31">
            <v>1022</v>
          </cell>
          <cell r="E31">
            <v>1481</v>
          </cell>
          <cell r="F31">
            <v>2148</v>
          </cell>
          <cell r="G31">
            <v>2577.6</v>
          </cell>
        </row>
        <row r="32">
          <cell r="A32">
            <v>28</v>
          </cell>
          <cell r="B32">
            <v>564</v>
          </cell>
          <cell r="C32">
            <v>671</v>
          </cell>
          <cell r="D32">
            <v>987</v>
          </cell>
          <cell r="E32">
            <v>1431</v>
          </cell>
          <cell r="F32">
            <v>2074</v>
          </cell>
          <cell r="G32">
            <v>2488.7999999999997</v>
          </cell>
        </row>
        <row r="33">
          <cell r="A33">
            <v>29</v>
          </cell>
          <cell r="B33">
            <v>545</v>
          </cell>
          <cell r="C33">
            <v>649</v>
          </cell>
          <cell r="D33">
            <v>953</v>
          </cell>
          <cell r="E33">
            <v>1382</v>
          </cell>
          <cell r="F33">
            <v>2004</v>
          </cell>
          <cell r="G33">
            <v>2404.7999999999997</v>
          </cell>
        </row>
        <row r="34">
          <cell r="A34">
            <v>30</v>
          </cell>
          <cell r="B34">
            <v>528</v>
          </cell>
          <cell r="C34">
            <v>628</v>
          </cell>
          <cell r="D34">
            <v>924</v>
          </cell>
          <cell r="E34">
            <v>1339</v>
          </cell>
          <cell r="F34">
            <v>1942</v>
          </cell>
          <cell r="G34">
            <v>2330.4</v>
          </cell>
        </row>
        <row r="35">
          <cell r="A35">
            <v>35</v>
          </cell>
          <cell r="B35">
            <v>512</v>
          </cell>
          <cell r="C35">
            <v>609</v>
          </cell>
          <cell r="D35">
            <v>896</v>
          </cell>
          <cell r="E35">
            <v>1299</v>
          </cell>
          <cell r="F35">
            <v>1883</v>
          </cell>
          <cell r="G35">
            <v>2259.6</v>
          </cell>
        </row>
        <row r="36">
          <cell r="A36">
            <v>40</v>
          </cell>
          <cell r="B36">
            <v>498</v>
          </cell>
          <cell r="C36">
            <v>593</v>
          </cell>
          <cell r="D36">
            <v>871</v>
          </cell>
          <cell r="E36">
            <v>1263</v>
          </cell>
          <cell r="F36">
            <v>1832</v>
          </cell>
          <cell r="G36">
            <v>2198.4</v>
          </cell>
        </row>
        <row r="37">
          <cell r="A37">
            <v>45</v>
          </cell>
          <cell r="B37">
            <v>487</v>
          </cell>
          <cell r="C37">
            <v>580</v>
          </cell>
          <cell r="D37">
            <v>852</v>
          </cell>
          <cell r="E37">
            <v>1235</v>
          </cell>
          <cell r="F37">
            <v>1791</v>
          </cell>
          <cell r="G37">
            <v>2149.1999999999998</v>
          </cell>
        </row>
        <row r="38">
          <cell r="A38">
            <v>50</v>
          </cell>
          <cell r="B38">
            <v>477</v>
          </cell>
          <cell r="C38">
            <v>568</v>
          </cell>
          <cell r="D38">
            <v>834</v>
          </cell>
          <cell r="E38">
            <v>1210</v>
          </cell>
          <cell r="F38">
            <v>1754</v>
          </cell>
          <cell r="G38">
            <v>2104.7999999999997</v>
          </cell>
        </row>
        <row r="39">
          <cell r="A39">
            <v>55</v>
          </cell>
          <cell r="B39">
            <v>468</v>
          </cell>
          <cell r="C39">
            <v>557</v>
          </cell>
          <cell r="D39">
            <v>819</v>
          </cell>
          <cell r="E39">
            <v>1187</v>
          </cell>
          <cell r="F39">
            <v>1721</v>
          </cell>
          <cell r="G39">
            <v>2065.1999999999998</v>
          </cell>
        </row>
        <row r="40">
          <cell r="A40">
            <v>60</v>
          </cell>
          <cell r="B40">
            <v>460</v>
          </cell>
          <cell r="C40">
            <v>547</v>
          </cell>
          <cell r="D40">
            <v>805</v>
          </cell>
          <cell r="E40">
            <v>1167</v>
          </cell>
          <cell r="F40">
            <v>1692</v>
          </cell>
          <cell r="G40">
            <v>2030.3999999999999</v>
          </cell>
        </row>
        <row r="41">
          <cell r="A41">
            <v>70</v>
          </cell>
          <cell r="B41">
            <v>453</v>
          </cell>
          <cell r="C41">
            <v>539</v>
          </cell>
          <cell r="D41">
            <v>792</v>
          </cell>
          <cell r="E41">
            <v>1149</v>
          </cell>
          <cell r="F41">
            <v>1666</v>
          </cell>
          <cell r="G41">
            <v>1999.1999999999998</v>
          </cell>
        </row>
        <row r="42">
          <cell r="A42">
            <v>80</v>
          </cell>
          <cell r="B42">
            <v>447</v>
          </cell>
          <cell r="C42">
            <v>532</v>
          </cell>
          <cell r="D42">
            <v>782</v>
          </cell>
          <cell r="E42">
            <v>1134</v>
          </cell>
          <cell r="F42">
            <v>1644</v>
          </cell>
          <cell r="G42">
            <v>1972.8</v>
          </cell>
        </row>
        <row r="43">
          <cell r="A43">
            <v>90</v>
          </cell>
          <cell r="B43">
            <v>442</v>
          </cell>
          <cell r="C43">
            <v>526</v>
          </cell>
          <cell r="D43">
            <v>773</v>
          </cell>
          <cell r="E43">
            <v>1121</v>
          </cell>
          <cell r="F43">
            <v>1626</v>
          </cell>
          <cell r="G43">
            <v>1951.1999999999998</v>
          </cell>
        </row>
        <row r="44">
          <cell r="A44">
            <v>100</v>
          </cell>
          <cell r="B44">
            <v>438</v>
          </cell>
          <cell r="C44">
            <v>521</v>
          </cell>
          <cell r="D44">
            <v>766</v>
          </cell>
          <cell r="E44">
            <v>1111</v>
          </cell>
          <cell r="F44">
            <v>1611</v>
          </cell>
          <cell r="G44">
            <v>1933.1999999999998</v>
          </cell>
        </row>
        <row r="45">
          <cell r="A45">
            <v>101</v>
          </cell>
          <cell r="B45">
            <v>435</v>
          </cell>
          <cell r="C45">
            <v>518</v>
          </cell>
          <cell r="D45">
            <v>761</v>
          </cell>
          <cell r="E45">
            <v>1103</v>
          </cell>
          <cell r="F45">
            <v>1600</v>
          </cell>
          <cell r="G45">
            <v>1920</v>
          </cell>
        </row>
      </sheetData>
      <sheetData sheetId="6" refreshError="1">
        <row r="6">
          <cell r="C6" t="str">
            <v>C«ng t¸c thÝ nghiÖm hiÖu chØnh m¸y ph¸t ®iÖn, ®éng c¬ ®ång bé, U &lt; 1000 V</v>
          </cell>
        </row>
        <row r="7">
          <cell r="B7" t="str">
            <v>01.1101</v>
          </cell>
          <cell r="C7" t="str">
            <v>TN-HC m¸y ph¸t ®iÖn, ®éng c¬ ®iÖn ®ång bé CS&lt;10 KW</v>
          </cell>
          <cell r="D7" t="str">
            <v>m¸y</v>
          </cell>
          <cell r="E7">
            <v>7.3730000000000002</v>
          </cell>
          <cell r="F7">
            <v>45748</v>
          </cell>
          <cell r="G7">
            <v>13607</v>
          </cell>
        </row>
        <row r="8">
          <cell r="B8" t="str">
            <v>01.1102</v>
          </cell>
          <cell r="C8" t="str">
            <v>TN-HC m¸y ph¸t ®iÖn, ®éng c¬ ®iÖn ®ång bé CS&lt;50 KW</v>
          </cell>
          <cell r="D8" t="str">
            <v>m¸y</v>
          </cell>
          <cell r="E8">
            <v>10749</v>
          </cell>
          <cell r="F8">
            <v>54898</v>
          </cell>
          <cell r="G8">
            <v>16328</v>
          </cell>
        </row>
        <row r="9">
          <cell r="B9" t="str">
            <v>01.1103</v>
          </cell>
          <cell r="C9" t="str">
            <v>TN-HC m¸y ph¸t ®iÖn, ®éng c¬ ®iÖn ®ång bé CS&lt;100 KW</v>
          </cell>
          <cell r="D9" t="str">
            <v>m¸y</v>
          </cell>
          <cell r="E9">
            <v>14864</v>
          </cell>
          <cell r="F9">
            <v>65877</v>
          </cell>
          <cell r="G9">
            <v>19583</v>
          </cell>
        </row>
        <row r="10">
          <cell r="B10" t="str">
            <v>01.1104</v>
          </cell>
          <cell r="C10" t="str">
            <v>TN-HC m¸y ph¸t ®iÖn, ®éng c¬ ®iÖn ®ång bé CS&lt;200 KW</v>
          </cell>
          <cell r="D10" t="str">
            <v>m¸y</v>
          </cell>
          <cell r="E10">
            <v>20044</v>
          </cell>
          <cell r="F10">
            <v>79053</v>
          </cell>
          <cell r="G10">
            <v>23512</v>
          </cell>
        </row>
        <row r="11">
          <cell r="C11" t="str">
            <v>C«ng t¸c thÝ nghiÖm hiÖu chØnh m¸y  m¸y ph¸t ®iÖn, ®éng c¬ kh«ng ®ång bé U &lt; 1000 V</v>
          </cell>
        </row>
        <row r="12">
          <cell r="B12" t="str">
            <v>01.1201</v>
          </cell>
          <cell r="C12" t="str">
            <v>TN-HC m¸y ph¸t ®iÖn, ®éng c¬ ®iÖn ®ång bé CS&lt;10 KW</v>
          </cell>
          <cell r="D12" t="str">
            <v>m¸y</v>
          </cell>
          <cell r="E12">
            <v>5898</v>
          </cell>
          <cell r="F12">
            <v>36598</v>
          </cell>
          <cell r="G12">
            <v>10885</v>
          </cell>
        </row>
        <row r="13">
          <cell r="B13" t="str">
            <v>01.1202</v>
          </cell>
          <cell r="C13" t="str">
            <v>TN-HC m¸y ph¸t ®iÖn, ®éng c¬ ®iÖn ®ång bé CS&lt;50 KW</v>
          </cell>
          <cell r="D13" t="str">
            <v>m¸y</v>
          </cell>
          <cell r="E13">
            <v>8599</v>
          </cell>
          <cell r="F13">
            <v>43918</v>
          </cell>
          <cell r="G13">
            <v>13062</v>
          </cell>
        </row>
        <row r="14">
          <cell r="B14" t="str">
            <v>01.1203</v>
          </cell>
          <cell r="C14" t="str">
            <v>TN-HC m¸y ph¸t ®iÖn, ®éng c¬ ®iÖn ®ång bé CS&lt;100 KW</v>
          </cell>
          <cell r="D14" t="str">
            <v>m¸y</v>
          </cell>
          <cell r="E14">
            <v>11891</v>
          </cell>
          <cell r="F14">
            <v>52702</v>
          </cell>
          <cell r="G14">
            <v>15675</v>
          </cell>
        </row>
        <row r="15">
          <cell r="B15" t="str">
            <v>01.1204</v>
          </cell>
          <cell r="C15" t="str">
            <v>TN-HC m¸y ph¸t ®iÖn, ®éng c¬ ®iÖn ®ång bé CS&lt;200 KW</v>
          </cell>
          <cell r="D15" t="str">
            <v>m¸y</v>
          </cell>
          <cell r="E15">
            <v>16035</v>
          </cell>
          <cell r="F15">
            <v>63242</v>
          </cell>
          <cell r="G15">
            <v>18810</v>
          </cell>
        </row>
        <row r="16">
          <cell r="C16" t="str">
            <v>C«ng t¸c thÝ nghiÖm hiÖu chØnh m¸y biÕn ¸p lùc 66-500KV</v>
          </cell>
        </row>
        <row r="17">
          <cell r="B17" t="str">
            <v>01.2101</v>
          </cell>
          <cell r="C17" t="str">
            <v>TNHC m¸y biÕn ¸p lùc 3 pha 66-220 KV , lo¹i &lt;100MVA</v>
          </cell>
          <cell r="D17" t="str">
            <v>m¸y</v>
          </cell>
          <cell r="E17">
            <v>66008</v>
          </cell>
          <cell r="F17">
            <v>1162957</v>
          </cell>
          <cell r="G17">
            <v>1626389</v>
          </cell>
        </row>
        <row r="18">
          <cell r="B18" t="str">
            <v>01.2102</v>
          </cell>
          <cell r="C18" t="str">
            <v>TN-HC m¸y biÕn ¸p lùc 3 pha 66-220 KV , lo¹i &gt;100MVA</v>
          </cell>
          <cell r="D18" t="str">
            <v>m¸y</v>
          </cell>
          <cell r="E18">
            <v>73342</v>
          </cell>
          <cell r="F18">
            <v>1292174</v>
          </cell>
          <cell r="G18">
            <v>1807099</v>
          </cell>
        </row>
        <row r="19">
          <cell r="B19" t="str">
            <v>01.2103</v>
          </cell>
          <cell r="C19" t="str">
            <v>TN-HC m¸y biÕn ¸p lùc 3 pha 220-500 KV , lo¹i &lt;100MVA</v>
          </cell>
          <cell r="D19" t="str">
            <v>m¸y</v>
          </cell>
          <cell r="E19">
            <v>52228</v>
          </cell>
          <cell r="F19">
            <v>778549</v>
          </cell>
          <cell r="G19">
            <v>1296869</v>
          </cell>
        </row>
        <row r="20">
          <cell r="B20" t="str">
            <v>01.2104</v>
          </cell>
          <cell r="C20" t="str">
            <v>TN-HC m¸y biÕn ¸p lùc 3 pha 66-220 KV , lo¹i &gt;100MVA</v>
          </cell>
          <cell r="D20" t="str">
            <v>m¸y</v>
          </cell>
          <cell r="E20">
            <v>58098</v>
          </cell>
          <cell r="F20">
            <v>865054</v>
          </cell>
          <cell r="G20">
            <v>1440966</v>
          </cell>
        </row>
        <row r="21">
          <cell r="C21" t="str">
            <v>C«ng t¸c thÝ nghiÖm hiÖu chØnh m¸y biÕn ¸p 22-35KV</v>
          </cell>
        </row>
        <row r="22">
          <cell r="B22" t="str">
            <v>02.2211</v>
          </cell>
          <cell r="C22" t="str">
            <v>TN-HC m¸y biÕn ¸p lùc 3 pha KV, lo¹i &lt;1MVA</v>
          </cell>
          <cell r="D22" t="str">
            <v>m¸y</v>
          </cell>
          <cell r="E22">
            <v>25631</v>
          </cell>
          <cell r="F22">
            <v>159702</v>
          </cell>
          <cell r="G22">
            <v>95846</v>
          </cell>
        </row>
        <row r="23">
          <cell r="B23" t="str">
            <v>02.2212</v>
          </cell>
          <cell r="C23" t="str">
            <v>TN-HC m¸y biÕn ¸p lùc 3 pha, lo¹i &gt;1MVA</v>
          </cell>
          <cell r="D23" t="str">
            <v>m¸y</v>
          </cell>
          <cell r="E23">
            <v>28479</v>
          </cell>
          <cell r="F23">
            <v>177447</v>
          </cell>
          <cell r="G23">
            <v>106496</v>
          </cell>
        </row>
        <row r="24">
          <cell r="B24" t="str">
            <v>02.2213</v>
          </cell>
          <cell r="C24" t="str">
            <v>TN-HC m¸y biÕn ¸p lùc 1 pha, lo¹i &lt;0.5MVA</v>
          </cell>
          <cell r="D24" t="str">
            <v>m¸y</v>
          </cell>
          <cell r="E24">
            <v>23068</v>
          </cell>
          <cell r="F24">
            <v>143732</v>
          </cell>
          <cell r="G24">
            <v>86262</v>
          </cell>
        </row>
        <row r="25">
          <cell r="C25" t="str">
            <v>C«ng t¸c thÝ nghiÖm hiÖu chØnh m¸y biÕn ¸p 3-15KV</v>
          </cell>
        </row>
        <row r="26">
          <cell r="B26" t="str">
            <v>01.2221</v>
          </cell>
          <cell r="C26" t="str">
            <v>TN-HC m¸y biÕn ¸p  3 pha, lo¹i &lt;1MVA</v>
          </cell>
          <cell r="D26" t="str">
            <v>m¸y</v>
          </cell>
          <cell r="E26">
            <v>20638</v>
          </cell>
          <cell r="F26">
            <v>127762</v>
          </cell>
          <cell r="G26">
            <v>224836</v>
          </cell>
        </row>
        <row r="27">
          <cell r="B27" t="str">
            <v>01.2222</v>
          </cell>
          <cell r="C27" t="str">
            <v>TN-HC m¸y biÕn ¸p  3 pha, lo¹i &gt;1MVA</v>
          </cell>
          <cell r="D27" t="str">
            <v>m¸y</v>
          </cell>
          <cell r="E27">
            <v>22932</v>
          </cell>
          <cell r="F27">
            <v>141958</v>
          </cell>
          <cell r="G27">
            <v>83526</v>
          </cell>
        </row>
        <row r="28">
          <cell r="B28" t="str">
            <v>01.2223</v>
          </cell>
          <cell r="C28" t="str">
            <v>TN-HC m¸y biÕn ¸p  1 pha, lo¹i &lt;0.5MVA</v>
          </cell>
          <cell r="D28" t="str">
            <v>m¸y</v>
          </cell>
          <cell r="E28">
            <v>18575</v>
          </cell>
          <cell r="F28">
            <v>114986</v>
          </cell>
          <cell r="G28">
            <v>67656</v>
          </cell>
        </row>
        <row r="29">
          <cell r="C29" t="str">
            <v>C«ng t¸c thÝ nghiÖm hiÖu chØnh m¸y biÕn ®iÖn ¸p 1pha, ph©n ¸p b»ng tô ®iÖn, ®iÖn ¸p 66-500KV</v>
          </cell>
        </row>
        <row r="30">
          <cell r="B30" t="str">
            <v>01.3101</v>
          </cell>
          <cell r="C30" t="str">
            <v xml:space="preserve">TN-HC m¸y biÕn ®iÖn ¸p lo¹i 66-110KV 1 pha </v>
          </cell>
          <cell r="D30" t="str">
            <v>m¸y</v>
          </cell>
          <cell r="E30">
            <v>7392</v>
          </cell>
          <cell r="F30">
            <v>127762</v>
          </cell>
          <cell r="G30">
            <v>224836</v>
          </cell>
        </row>
        <row r="31">
          <cell r="B31" t="str">
            <v>01.3102</v>
          </cell>
          <cell r="C31" t="str">
            <v xml:space="preserve">TN-HC m¸y biÕn ®iÖn ¸p lo¹i 220KV 1 pha </v>
          </cell>
          <cell r="D31" t="str">
            <v>m¸y</v>
          </cell>
          <cell r="E31">
            <v>8870</v>
          </cell>
          <cell r="F31">
            <v>159702</v>
          </cell>
          <cell r="G31">
            <v>249817</v>
          </cell>
        </row>
        <row r="32">
          <cell r="B32" t="str">
            <v>01.3103</v>
          </cell>
          <cell r="C32" t="str">
            <v xml:space="preserve">TN-HC m¸y biÕn ®iÖn ¸p lo¹i 500KV 1 pha </v>
          </cell>
          <cell r="D32" t="str">
            <v>m¸y</v>
          </cell>
          <cell r="E32">
            <v>10644</v>
          </cell>
          <cell r="F32">
            <v>199628</v>
          </cell>
          <cell r="G32">
            <v>277575</v>
          </cell>
        </row>
        <row r="33">
          <cell r="B33" t="str">
            <v>01.3200</v>
          </cell>
          <cell r="C33" t="str">
            <v>C«ng t¸c thÝ nghiÖm hiÖu chØnh m¸y biÕn dßng ®iÖn,  ®iÖn ¸p 66-500KV</v>
          </cell>
        </row>
        <row r="34">
          <cell r="B34" t="str">
            <v>01.3201</v>
          </cell>
          <cell r="C34" t="str">
            <v xml:space="preserve">TN-HC m¸y biÕn ®iÖn ¸p lo¹i 66-110KV 1 pha </v>
          </cell>
          <cell r="D34" t="str">
            <v>m¸y</v>
          </cell>
          <cell r="E34">
            <v>7392</v>
          </cell>
          <cell r="F34">
            <v>127762</v>
          </cell>
          <cell r="G34">
            <v>97258</v>
          </cell>
        </row>
        <row r="35">
          <cell r="B35" t="str">
            <v>01.3202</v>
          </cell>
          <cell r="C35" t="str">
            <v xml:space="preserve">TN-HC m¸y biÕn ®iÖn ¸p lo¹i 220KV 1 pha </v>
          </cell>
          <cell r="D35" t="str">
            <v>m¸y</v>
          </cell>
          <cell r="E35">
            <v>8870</v>
          </cell>
          <cell r="F35">
            <v>159702</v>
          </cell>
          <cell r="G35">
            <v>108064</v>
          </cell>
        </row>
        <row r="36">
          <cell r="B36" t="str">
            <v>01.3203</v>
          </cell>
          <cell r="C36" t="str">
            <v xml:space="preserve">TN-HC m¸y biÕn ®iÖn ¸p lo¹i 550KV 1 pha </v>
          </cell>
          <cell r="D36" t="str">
            <v>m¸y</v>
          </cell>
          <cell r="E36">
            <v>10644</v>
          </cell>
          <cell r="F36">
            <v>199628</v>
          </cell>
          <cell r="G36">
            <v>120072</v>
          </cell>
        </row>
        <row r="37">
          <cell r="B37" t="str">
            <v>01.3300</v>
          </cell>
          <cell r="C37" t="str">
            <v>C«ng t¸c thÝ nghiÖm hiÖu chØnh m¸y biÕn ®iÖn ¸p  c¶m øng, ®iÖn ¸p 3-35KV</v>
          </cell>
        </row>
        <row r="38">
          <cell r="B38" t="str">
            <v>01.3301</v>
          </cell>
          <cell r="C38" t="str">
            <v xml:space="preserve">TN-HC m¸y biÕn ®iÖn  ¸p lo¹i 22-35 KV 1 pha </v>
          </cell>
          <cell r="D38" t="str">
            <v>m¸y</v>
          </cell>
          <cell r="E38">
            <v>5913</v>
          </cell>
          <cell r="F38">
            <v>79851</v>
          </cell>
          <cell r="G38">
            <v>97258</v>
          </cell>
        </row>
        <row r="39">
          <cell r="B39" t="str">
            <v>01.3302</v>
          </cell>
          <cell r="C39" t="str">
            <v xml:space="preserve">TN-HC m¸y biÕn ®iÖn ¸p lo¹i 22-35 KV 3 pha </v>
          </cell>
          <cell r="D39" t="str">
            <v>m¸y</v>
          </cell>
          <cell r="E39">
            <v>8574</v>
          </cell>
          <cell r="F39">
            <v>119777</v>
          </cell>
          <cell r="G39">
            <v>108064</v>
          </cell>
        </row>
        <row r="40">
          <cell r="B40" t="str">
            <v>01.3303</v>
          </cell>
          <cell r="C40" t="str">
            <v xml:space="preserve">TN-HC m¸y biÕn ®iÖn ¸p lo¹i 3-15 KV 1 pha </v>
          </cell>
          <cell r="D40" t="str">
            <v>m¸y</v>
          </cell>
          <cell r="E40">
            <v>4731</v>
          </cell>
          <cell r="F40">
            <v>71866</v>
          </cell>
          <cell r="G40">
            <v>87532</v>
          </cell>
        </row>
        <row r="41">
          <cell r="B41" t="str">
            <v>01.3304</v>
          </cell>
          <cell r="C41" t="str">
            <v xml:space="preserve">TN-Hc m¸y biÕn ®iÖn ¸p lo¹i 3-15 KV 3 pha </v>
          </cell>
          <cell r="D41" t="str">
            <v>m¸y</v>
          </cell>
          <cell r="E41">
            <v>7716</v>
          </cell>
          <cell r="F41">
            <v>107799</v>
          </cell>
          <cell r="G41">
            <v>100662</v>
          </cell>
        </row>
        <row r="42">
          <cell r="B42" t="str">
            <v>01.4100</v>
          </cell>
          <cell r="C42" t="str">
            <v>C«ng t¸c thÝ nghiÖm hiÖu chØnh m¸y biÕn biÕn dßng ®iÖn, ®iÖn ¸p 22-500KV</v>
          </cell>
        </row>
        <row r="43">
          <cell r="B43" t="str">
            <v>01.4101</v>
          </cell>
          <cell r="C43" t="str">
            <v xml:space="preserve">TN - HC m¸y biÕn dßng ®iÖn 22-35KV </v>
          </cell>
          <cell r="D43" t="str">
            <v>m¸y</v>
          </cell>
          <cell r="E43">
            <v>6900</v>
          </cell>
          <cell r="F43">
            <v>79851</v>
          </cell>
          <cell r="G43">
            <v>103227</v>
          </cell>
        </row>
        <row r="44">
          <cell r="B44" t="str">
            <v>01.4102</v>
          </cell>
          <cell r="C44" t="str">
            <v xml:space="preserve">TN - HC m¸y biÕn dßng ®iÖn 66-110KV </v>
          </cell>
          <cell r="D44" t="str">
            <v>m¸y</v>
          </cell>
          <cell r="E44">
            <v>8625</v>
          </cell>
          <cell r="F44">
            <v>88723</v>
          </cell>
          <cell r="G44">
            <v>154089</v>
          </cell>
        </row>
        <row r="45">
          <cell r="B45" t="str">
            <v>01.4103</v>
          </cell>
          <cell r="C45" t="str">
            <v xml:space="preserve">TN - HC m¸y biÕn dßng ®iÖn 220KV </v>
          </cell>
          <cell r="D45" t="str">
            <v>m¸y</v>
          </cell>
          <cell r="E45">
            <v>10781</v>
          </cell>
          <cell r="F45">
            <v>133085</v>
          </cell>
          <cell r="G45">
            <v>219148</v>
          </cell>
        </row>
        <row r="46">
          <cell r="B46" t="str">
            <v>01.4104</v>
          </cell>
          <cell r="C46" t="str">
            <v xml:space="preserve">TN - HC m¸y biÕn dßng ®iÖn 500KV </v>
          </cell>
          <cell r="D46" t="str">
            <v>m¸y</v>
          </cell>
          <cell r="E46">
            <v>13477</v>
          </cell>
          <cell r="F46">
            <v>199628</v>
          </cell>
          <cell r="G46">
            <v>243497</v>
          </cell>
        </row>
        <row r="47">
          <cell r="B47" t="str">
            <v>01.4200</v>
          </cell>
          <cell r="C47" t="str">
            <v>C«ng t¸c thÝ nghiÖm hiÖu chØnh m¸y biÕn biÕn dßng ®iÖn, ®iÖn ¸p &lt; 1KV; 3-15KV , ë c¸c ®Çu ra c¸c cÊp ®iÖn ¸p</v>
          </cell>
        </row>
        <row r="48">
          <cell r="B48" t="str">
            <v>01.4201</v>
          </cell>
          <cell r="C48" t="str">
            <v xml:space="preserve">TN - HC m¸y biÕn dßng ®iÖn 3-15 KV </v>
          </cell>
          <cell r="D48" t="str">
            <v>m¸y</v>
          </cell>
          <cell r="E48">
            <v>5520</v>
          </cell>
          <cell r="F48">
            <v>63881</v>
          </cell>
          <cell r="G48">
            <v>45461</v>
          </cell>
        </row>
        <row r="49">
          <cell r="B49" t="str">
            <v>01.4202</v>
          </cell>
          <cell r="C49" t="str">
            <v xml:space="preserve">TN - HC m¸y biÕn dßng ®iÖn &lt;1KV </v>
          </cell>
          <cell r="D49" t="str">
            <v>m¸y</v>
          </cell>
          <cell r="E49">
            <v>2111</v>
          </cell>
          <cell r="F49">
            <v>31940</v>
          </cell>
          <cell r="G49">
            <v>11656</v>
          </cell>
        </row>
        <row r="50">
          <cell r="B50" t="str">
            <v>01.4203</v>
          </cell>
          <cell r="C50" t="str">
            <v xml:space="preserve">TN - HC m¸y biÕn dßng c¸c ®Çu ra  </v>
          </cell>
          <cell r="D50" t="str">
            <v>pha</v>
          </cell>
          <cell r="E50">
            <v>3167</v>
          </cell>
          <cell r="F50">
            <v>47911</v>
          </cell>
          <cell r="G50">
            <v>21679</v>
          </cell>
        </row>
        <row r="51">
          <cell r="B51" t="str">
            <v>01.5100</v>
          </cell>
          <cell r="C51" t="str">
            <v xml:space="preserve">C«ng t¸c thÝ nghiÖm hiÖu chØnh m¸y kh¸ng ®iÖn dÇu, m¸y t¹o trung tÝnh </v>
          </cell>
        </row>
        <row r="52">
          <cell r="B52" t="str">
            <v>01.5101</v>
          </cell>
          <cell r="C52" t="str">
            <v>TN - HC m¸y kh¸ng ®iÖn dÇu 500KV</v>
          </cell>
          <cell r="D52" t="str">
            <v>m¸y</v>
          </cell>
          <cell r="E52">
            <v>28862</v>
          </cell>
          <cell r="F52">
            <v>544984</v>
          </cell>
          <cell r="G52">
            <v>753162</v>
          </cell>
        </row>
        <row r="53">
          <cell r="B53" t="str">
            <v>01.5102</v>
          </cell>
          <cell r="C53" t="str">
            <v>TN - HC m¸y kh¸ng ®iÖn dÇu &lt;=35KV</v>
          </cell>
          <cell r="D53" t="str">
            <v>m¸y</v>
          </cell>
          <cell r="E53">
            <v>9621</v>
          </cell>
          <cell r="F53">
            <v>136246</v>
          </cell>
          <cell r="G53">
            <v>251054</v>
          </cell>
        </row>
        <row r="54">
          <cell r="B54" t="str">
            <v>01.5103</v>
          </cell>
          <cell r="C54" t="str">
            <v xml:space="preserve">TN - HC m¸y t¹o trung tÝnh </v>
          </cell>
          <cell r="D54" t="str">
            <v>m¸y</v>
          </cell>
          <cell r="E54">
            <v>12507</v>
          </cell>
          <cell r="F54">
            <v>170308</v>
          </cell>
          <cell r="G54">
            <v>326370</v>
          </cell>
        </row>
        <row r="55">
          <cell r="B55" t="str">
            <v>01.5200</v>
          </cell>
          <cell r="C55" t="str">
            <v xml:space="preserve">C«ng t¸c thÝ nghiÖm hiÖu chØnh m¸y kh¸ng ®iÖn kh« vµ cuén c¶m cao tÇn c¸c cÊp ®iÖn ¸p </v>
          </cell>
        </row>
        <row r="56">
          <cell r="B56" t="str">
            <v>01.5201</v>
          </cell>
          <cell r="C56" t="str">
            <v xml:space="preserve">TN - HC kh¸ng ®iÖn kh« </v>
          </cell>
          <cell r="D56" t="str">
            <v xml:space="preserve">m¸y </v>
          </cell>
          <cell r="E56">
            <v>3884</v>
          </cell>
          <cell r="F56">
            <v>45415</v>
          </cell>
          <cell r="G56">
            <v>49225</v>
          </cell>
        </row>
        <row r="57">
          <cell r="B57" t="str">
            <v>01.5202</v>
          </cell>
          <cell r="C57" t="str">
            <v xml:space="preserve">TN - HC cuén c¶m cao tÇn </v>
          </cell>
          <cell r="D57" t="str">
            <v xml:space="preserve">m¸y </v>
          </cell>
          <cell r="E57">
            <v>2590</v>
          </cell>
          <cell r="F57">
            <v>30277</v>
          </cell>
          <cell r="G57">
            <v>14778</v>
          </cell>
        </row>
        <row r="58">
          <cell r="B58" t="str">
            <v>02.1100</v>
          </cell>
          <cell r="C58" t="str">
            <v>C«ng t¸c thÝ nghiÖm hiÖu chØnh m¸y ng¾t SF6</v>
          </cell>
        </row>
        <row r="59">
          <cell r="B59" t="str">
            <v>02.1101</v>
          </cell>
          <cell r="C59" t="str">
            <v xml:space="preserve">TN - HC m¸y ng¾t SF6 ®iÖn ¸p 500KV 3pha </v>
          </cell>
          <cell r="D59" t="str">
            <v>bé</v>
          </cell>
          <cell r="E59">
            <v>40809</v>
          </cell>
          <cell r="F59">
            <v>665426</v>
          </cell>
          <cell r="G59">
            <v>421344</v>
          </cell>
        </row>
        <row r="60">
          <cell r="B60" t="str">
            <v>02.1102</v>
          </cell>
          <cell r="C60" t="str">
            <v xml:space="preserve">TN - HC m¸y ng¾t SF6 ®iÖn ¸p 220KV 3pha </v>
          </cell>
          <cell r="D60" t="str">
            <v>bé</v>
          </cell>
          <cell r="E60">
            <v>20124</v>
          </cell>
          <cell r="F60">
            <v>465798</v>
          </cell>
          <cell r="G60">
            <v>294940</v>
          </cell>
        </row>
        <row r="61">
          <cell r="B61" t="str">
            <v>02.1103</v>
          </cell>
          <cell r="C61" t="str">
            <v xml:space="preserve">TN - HC m¸y ng¾t SF6 ®iÖn ¸p 66-110KV 3pha </v>
          </cell>
          <cell r="D61" t="str">
            <v>bé</v>
          </cell>
          <cell r="E61">
            <v>19996</v>
          </cell>
          <cell r="F61">
            <v>326059</v>
          </cell>
          <cell r="G61">
            <v>206458</v>
          </cell>
        </row>
        <row r="62">
          <cell r="B62" t="str">
            <v>02.1104</v>
          </cell>
          <cell r="C62" t="str">
            <v xml:space="preserve">TN - HC m¸y ng¾t SF6 ®iÖn ¸p &lt;=35KV 3pha </v>
          </cell>
          <cell r="D62" t="str">
            <v>bé</v>
          </cell>
          <cell r="E62">
            <v>13997</v>
          </cell>
          <cell r="F62">
            <v>228241</v>
          </cell>
          <cell r="G62">
            <v>144521</v>
          </cell>
        </row>
        <row r="63">
          <cell r="B63" t="str">
            <v>02.1200</v>
          </cell>
          <cell r="C63" t="str">
            <v xml:space="preserve">C«ng t¸c thÝ nghiÖm hiÖu chØnh m¸y ng¾t ®Çu </v>
          </cell>
        </row>
        <row r="64">
          <cell r="B64" t="str">
            <v>02.1201</v>
          </cell>
          <cell r="C64" t="str">
            <v xml:space="preserve">TN - HC m¸y ng¾t ®Çu ®iÖn ¸p 220KV 3pha </v>
          </cell>
          <cell r="D64" t="str">
            <v>bé</v>
          </cell>
          <cell r="E64">
            <v>32921</v>
          </cell>
          <cell r="F64">
            <v>499070</v>
          </cell>
          <cell r="G64">
            <v>593968</v>
          </cell>
        </row>
        <row r="65">
          <cell r="B65" t="str">
            <v>02.1202</v>
          </cell>
          <cell r="C65" t="str">
            <v xml:space="preserve">TN - HC m¸y ng¾t ®Çu ®iÖn ¸p 66-110KV 3pha </v>
          </cell>
          <cell r="D65" t="str">
            <v>bé</v>
          </cell>
          <cell r="E65">
            <v>23045</v>
          </cell>
          <cell r="F65">
            <v>349349</v>
          </cell>
          <cell r="G65">
            <v>415778</v>
          </cell>
        </row>
        <row r="66">
          <cell r="B66" t="str">
            <v>02.1203</v>
          </cell>
          <cell r="C66" t="str">
            <v xml:space="preserve">TN - HC m¸y ng¾t ®Çu ®iÖn ¸p &lt;=35KV 3pha </v>
          </cell>
          <cell r="D66" t="str">
            <v>bé</v>
          </cell>
          <cell r="E66">
            <v>16131</v>
          </cell>
          <cell r="F66">
            <v>244544</v>
          </cell>
          <cell r="G66">
            <v>291044</v>
          </cell>
        </row>
        <row r="67">
          <cell r="B67" t="str">
            <v>02.1300</v>
          </cell>
          <cell r="C67" t="str">
            <v xml:space="preserve">C«ng t¸c thÝ nghiÖm hiÖu chØnh m¸y ng¾t kh«ng khÝ  </v>
          </cell>
        </row>
        <row r="68">
          <cell r="B68" t="str">
            <v>02.1301</v>
          </cell>
          <cell r="C68" t="str">
            <v xml:space="preserve">TN - HC m¸y ng¾t kh«ng khÝ ®iÖn ¸p 220KV 3pha </v>
          </cell>
          <cell r="D68" t="str">
            <v>bé</v>
          </cell>
          <cell r="E68">
            <v>42849</v>
          </cell>
          <cell r="F68">
            <v>698697</v>
          </cell>
          <cell r="G68">
            <v>353929</v>
          </cell>
        </row>
        <row r="69">
          <cell r="B69" t="str">
            <v>02.1302</v>
          </cell>
          <cell r="C69" t="str">
            <v xml:space="preserve">TN - HC m¸y ng¾t kh«ng khÝ ®iÖn ¸p 66-110KV 3pha </v>
          </cell>
          <cell r="D69" t="str">
            <v>bé</v>
          </cell>
          <cell r="E69">
            <v>29995</v>
          </cell>
          <cell r="F69">
            <v>489088</v>
          </cell>
          <cell r="G69">
            <v>247750</v>
          </cell>
        </row>
        <row r="70">
          <cell r="B70" t="str">
            <v>02.1303</v>
          </cell>
          <cell r="C70" t="str">
            <v xml:space="preserve">TN - HC m¸y ng¾t kh«ng khÝ ®iÖn ¸p &lt;=35KV 3pha </v>
          </cell>
          <cell r="D70" t="str">
            <v>bé</v>
          </cell>
          <cell r="E70">
            <v>20996</v>
          </cell>
          <cell r="F70">
            <v>342362</v>
          </cell>
          <cell r="G70">
            <v>173425</v>
          </cell>
        </row>
        <row r="71">
          <cell r="B71" t="str">
            <v>02.1400</v>
          </cell>
          <cell r="C71" t="str">
            <v xml:space="preserve">C«ng t¸c thÝ nghiÖm hiÖu chØnh m¸y ng¾t kh«ng khÝ  </v>
          </cell>
        </row>
        <row r="72">
          <cell r="B72" t="str">
            <v>02.1401</v>
          </cell>
          <cell r="C72" t="str">
            <v xml:space="preserve">TN - HC m¸y ng¾t ch©n kh«ng ®iÖn ¸p &lt;=35KV 3pha </v>
          </cell>
          <cell r="D72" t="str">
            <v xml:space="preserve">bé </v>
          </cell>
          <cell r="E72">
            <v>9798</v>
          </cell>
          <cell r="F72">
            <v>159769</v>
          </cell>
          <cell r="G72">
            <v>110600</v>
          </cell>
        </row>
        <row r="73">
          <cell r="B73" t="str">
            <v>02.2100</v>
          </cell>
          <cell r="C73" t="str">
            <v xml:space="preserve">C«ng t¸c thÝ nghiÖm hiÖu chØnh dao c¸ch ly  thao t¸c b»ng ®iÖn </v>
          </cell>
        </row>
        <row r="74">
          <cell r="B74" t="str">
            <v>02.2101</v>
          </cell>
          <cell r="C74" t="str">
            <v xml:space="preserve">TN - HC dao c¸ch ly thao t¸c b»ng ®iÖn, ®iÖn ¸p 500KV 3 pha </v>
          </cell>
          <cell r="D74" t="str">
            <v>bé</v>
          </cell>
          <cell r="E74">
            <v>9290</v>
          </cell>
          <cell r="F74">
            <v>199628</v>
          </cell>
          <cell r="G74">
            <v>85849</v>
          </cell>
        </row>
        <row r="75">
          <cell r="B75" t="str">
            <v>02.2102</v>
          </cell>
          <cell r="C75" t="str">
            <v xml:space="preserve">TN - HC dao c¸ch ly thao t¸c b»ng ®iÖn, ®iÖn ¸p 220KV 3 pha </v>
          </cell>
          <cell r="D75" t="str">
            <v>bé</v>
          </cell>
          <cell r="E75">
            <v>7432</v>
          </cell>
          <cell r="F75">
            <v>159702</v>
          </cell>
          <cell r="G75">
            <v>77264</v>
          </cell>
        </row>
        <row r="76">
          <cell r="B76" t="str">
            <v>02.2103</v>
          </cell>
          <cell r="C76" t="str">
            <v xml:space="preserve">TN - HC dao c¸ch ly thao t¸c b»ng ®iÖn, ®iÖn ¸p 66-110KV 3 pha </v>
          </cell>
          <cell r="D76" t="str">
            <v>bé</v>
          </cell>
          <cell r="E76">
            <v>5946</v>
          </cell>
          <cell r="F76">
            <v>127762</v>
          </cell>
          <cell r="G76">
            <v>69538</v>
          </cell>
        </row>
        <row r="77">
          <cell r="B77" t="str">
            <v>02.2104</v>
          </cell>
          <cell r="C77" t="str">
            <v xml:space="preserve">TN - HC dao c¸ch ly thao t¸c b»ng ®iÖn, ®iÖn ¸p &lt;=35KV 3 pha </v>
          </cell>
          <cell r="D77" t="str">
            <v>bé</v>
          </cell>
          <cell r="E77">
            <v>4756</v>
          </cell>
          <cell r="F77">
            <v>102209</v>
          </cell>
          <cell r="G77">
            <v>62584</v>
          </cell>
        </row>
        <row r="78">
          <cell r="B78" t="str">
            <v>02.2200</v>
          </cell>
          <cell r="C78" t="str">
            <v xml:space="preserve">C«ng t¸c thÝ nghiÖm hiÖu chØnh dao c¸ch ly  thao t¸c b»ng c¬ khÝ </v>
          </cell>
        </row>
        <row r="79">
          <cell r="B79" t="str">
            <v>02.2201</v>
          </cell>
          <cell r="C79" t="str">
            <v xml:space="preserve">TN - HC dao c¸ch ly thao t¸c b»ng c¬ khÝ, ®iÖn ¸p 500KV 3 pha </v>
          </cell>
          <cell r="D79" t="str">
            <v>bé</v>
          </cell>
          <cell r="E79">
            <v>8624</v>
          </cell>
          <cell r="F79">
            <v>166357</v>
          </cell>
          <cell r="G79">
            <v>69401</v>
          </cell>
        </row>
        <row r="80">
          <cell r="B80" t="str">
            <v>02.2202</v>
          </cell>
          <cell r="C80" t="str">
            <v xml:space="preserve">TN - HC dao c¸ch ly thao t¸c b»ng ®iÖn, ®iÖn ¸p 220KV 3 pha </v>
          </cell>
          <cell r="D80" t="str">
            <v>bé</v>
          </cell>
          <cell r="E80">
            <v>6899</v>
          </cell>
          <cell r="F80">
            <v>133085</v>
          </cell>
          <cell r="G80">
            <v>62461</v>
          </cell>
        </row>
        <row r="81">
          <cell r="B81" t="str">
            <v>02.2203</v>
          </cell>
          <cell r="C81" t="str">
            <v xml:space="preserve">TN - HC dao c¸ch ly thao t¸c b»ng ®iÖn, ®iÖn ¸p 66-110KV 3 pha </v>
          </cell>
          <cell r="D81" t="str">
            <v>bé</v>
          </cell>
          <cell r="E81">
            <v>5519</v>
          </cell>
          <cell r="F81">
            <v>106468</v>
          </cell>
          <cell r="G81">
            <v>56215</v>
          </cell>
        </row>
        <row r="82">
          <cell r="B82" t="str">
            <v>02.2204</v>
          </cell>
          <cell r="C82" t="str">
            <v xml:space="preserve">TN - HC dao c¸ch ly thao t¸c b»ng ®iÖn, ®iÖn ¸p &lt;=35KV 3 pha </v>
          </cell>
          <cell r="D82" t="str">
            <v>bé</v>
          </cell>
          <cell r="E82">
            <v>4415</v>
          </cell>
          <cell r="F82">
            <v>85175</v>
          </cell>
          <cell r="G82">
            <v>50593</v>
          </cell>
        </row>
        <row r="83">
          <cell r="B83" t="str">
            <v>02.3000</v>
          </cell>
          <cell r="C83" t="str">
            <v xml:space="preserve">C«ng t¸c thÝ nghiÖm hiÖu chØnh thanh c¸i  </v>
          </cell>
        </row>
        <row r="84">
          <cell r="B84" t="str">
            <v>02.3001</v>
          </cell>
          <cell r="C84" t="str">
            <v xml:space="preserve">TN - HC thanh c¸i, ®iÖn ¸p 500KV  </v>
          </cell>
          <cell r="D84" t="str">
            <v>Ph.®o¹n</v>
          </cell>
          <cell r="E84">
            <v>9290</v>
          </cell>
          <cell r="F84">
            <v>66543</v>
          </cell>
          <cell r="G84">
            <v>69343</v>
          </cell>
        </row>
        <row r="85">
          <cell r="B85" t="str">
            <v>02.3002</v>
          </cell>
          <cell r="C85" t="str">
            <v xml:space="preserve">TN - HC thanh c¸i, ®iÖn ¸p 220KV  </v>
          </cell>
          <cell r="D85" t="str">
            <v>Ph.®o¹n</v>
          </cell>
          <cell r="E85">
            <v>7432</v>
          </cell>
          <cell r="F85">
            <v>53234</v>
          </cell>
          <cell r="G85">
            <v>55474</v>
          </cell>
        </row>
        <row r="86">
          <cell r="B86" t="str">
            <v>02.3003</v>
          </cell>
          <cell r="C86" t="str">
            <v xml:space="preserve">TN - HC thanh c¸i, ®iÖn ¸p 66-110KV  </v>
          </cell>
          <cell r="D86" t="str">
            <v>Ph.®o¹n</v>
          </cell>
          <cell r="E86">
            <v>5946</v>
          </cell>
          <cell r="F86">
            <v>42587</v>
          </cell>
          <cell r="G86">
            <v>44380</v>
          </cell>
        </row>
        <row r="87">
          <cell r="B87" t="str">
            <v>02.3004</v>
          </cell>
          <cell r="C87" t="str">
            <v xml:space="preserve">TN - HC thanh c¸i, ®iÖn ¸p &lt;=35KV  </v>
          </cell>
          <cell r="D87" t="str">
            <v>Ph.®o¹n</v>
          </cell>
          <cell r="E87">
            <v>4756</v>
          </cell>
          <cell r="F87">
            <v>34070</v>
          </cell>
          <cell r="G87">
            <v>35504</v>
          </cell>
        </row>
        <row r="88">
          <cell r="B88" t="str">
            <v>02.4100</v>
          </cell>
          <cell r="C88" t="str">
            <v>C«ng t¸c thÝ nghiÖm hiÖu chØnh c¸ch ®iÖn ®øng, treo</v>
          </cell>
        </row>
        <row r="89">
          <cell r="B89" t="str">
            <v>02.4101</v>
          </cell>
          <cell r="C89" t="str">
            <v xml:space="preserve">TN - HC c¸ch ®iÖn, ®iÖn ¸p 66-500KV  </v>
          </cell>
          <cell r="D89" t="str">
            <v>PhÇn tö</v>
          </cell>
          <cell r="E89">
            <v>927</v>
          </cell>
          <cell r="F89">
            <v>4880</v>
          </cell>
          <cell r="G89">
            <v>22567</v>
          </cell>
        </row>
        <row r="90">
          <cell r="B90" t="str">
            <v>02.4102</v>
          </cell>
          <cell r="C90" t="str">
            <v>TN - HC c¸ch ®iÖn, ®iÖn ¸p 3-35 KV, c¸ch ®iÖn ®øng</v>
          </cell>
          <cell r="D90" t="str">
            <v xml:space="preserve">C¸i </v>
          </cell>
          <cell r="E90">
            <v>464</v>
          </cell>
          <cell r="F90">
            <v>2440</v>
          </cell>
          <cell r="G90">
            <v>11284</v>
          </cell>
        </row>
        <row r="91">
          <cell r="B91" t="str">
            <v>02.4103</v>
          </cell>
          <cell r="C91" t="str">
            <v xml:space="preserve">TN - HC ®Ó rêi tõng b¸t </v>
          </cell>
          <cell r="D91" t="str">
            <v>b¸t</v>
          </cell>
          <cell r="E91">
            <v>232</v>
          </cell>
          <cell r="F91">
            <v>1220</v>
          </cell>
          <cell r="G91">
            <v>5642</v>
          </cell>
        </row>
        <row r="92">
          <cell r="B92" t="str">
            <v>02.4104</v>
          </cell>
          <cell r="C92" t="str">
            <v xml:space="preserve">TN - HC ®· l¾p thµnh chuçi </v>
          </cell>
          <cell r="D92" t="str">
            <v>b¸t</v>
          </cell>
          <cell r="E92">
            <v>162</v>
          </cell>
          <cell r="F92">
            <v>732</v>
          </cell>
          <cell r="G92">
            <v>3949</v>
          </cell>
        </row>
        <row r="93">
          <cell r="B93" t="str">
            <v>02.4200</v>
          </cell>
          <cell r="C93" t="str">
            <v>C«ng t¸c thÝ nghiÖm hiÖu chØnh c¸ch ®iÖn xuyªn</v>
          </cell>
        </row>
        <row r="94">
          <cell r="B94" t="str">
            <v>02.4201</v>
          </cell>
          <cell r="C94" t="str">
            <v xml:space="preserve">TN - HC c¸ch ®iÖn, ®iÖn ¸p 500KV  </v>
          </cell>
          <cell r="D94" t="str">
            <v xml:space="preserve">C¸i </v>
          </cell>
          <cell r="E94">
            <v>4172</v>
          </cell>
          <cell r="F94">
            <v>55452</v>
          </cell>
          <cell r="G94">
            <v>82667</v>
          </cell>
        </row>
        <row r="95">
          <cell r="B95" t="str">
            <v>02.4202</v>
          </cell>
          <cell r="C95" t="str">
            <v xml:space="preserve">TN - HC c¸ch ®iÖn, ®iÖn ¸p 220KV, c¸ch ®iÖn treo  </v>
          </cell>
          <cell r="D95" t="str">
            <v xml:space="preserve">C¸i </v>
          </cell>
          <cell r="E95">
            <v>3754</v>
          </cell>
          <cell r="F95">
            <v>44362</v>
          </cell>
          <cell r="G95">
            <v>66133</v>
          </cell>
        </row>
        <row r="96">
          <cell r="B96" t="str">
            <v>02.4203</v>
          </cell>
          <cell r="C96" t="str">
            <v xml:space="preserve">TN - HC c¸ch ®iÖn, ®iÖn ¸p 66-10KV, c¸ch ®iÖn treo  </v>
          </cell>
          <cell r="D96" t="str">
            <v xml:space="preserve">C¸i </v>
          </cell>
          <cell r="E96">
            <v>3379</v>
          </cell>
          <cell r="F96">
            <v>35489</v>
          </cell>
          <cell r="G96">
            <v>74177</v>
          </cell>
        </row>
        <row r="97">
          <cell r="B97" t="str">
            <v>02.4204</v>
          </cell>
          <cell r="C97" t="str">
            <v xml:space="preserve">TN - HC c¸ch ®iÖn, ®iÖn ¸p &lt;=35KV, c¸ch ®iÖn treo  </v>
          </cell>
          <cell r="D97" t="str">
            <v xml:space="preserve">C¸i </v>
          </cell>
          <cell r="E97">
            <v>2086</v>
          </cell>
          <cell r="F97">
            <v>28392</v>
          </cell>
          <cell r="G97">
            <v>42325</v>
          </cell>
        </row>
        <row r="98">
          <cell r="B98" t="str">
            <v>02.5000</v>
          </cell>
          <cell r="C98" t="str">
            <v>C«ng t¸c thÝ nghiÖm hiÖu chØnh c¸ch tô ®iÖn</v>
          </cell>
        </row>
        <row r="99">
          <cell r="B99" t="str">
            <v>02.5001</v>
          </cell>
          <cell r="C99" t="str">
            <v xml:space="preserve">TN - HC c¸ch ®iÖn, ®iÖn ¸p &gt;1000V  </v>
          </cell>
          <cell r="D99" t="str">
            <v>tô</v>
          </cell>
          <cell r="E99">
            <v>2086</v>
          </cell>
          <cell r="F99">
            <v>28392</v>
          </cell>
          <cell r="G99">
            <v>42325</v>
          </cell>
        </row>
        <row r="100">
          <cell r="B100" t="str">
            <v>02.5002</v>
          </cell>
          <cell r="C100" t="str">
            <v xml:space="preserve">TN - HC c¸ch ®iÖn, ®iÖn ¸p &lt;=1000V.  </v>
          </cell>
          <cell r="D100" t="str">
            <v>tô</v>
          </cell>
          <cell r="E100">
            <v>1669</v>
          </cell>
          <cell r="F100">
            <v>22713</v>
          </cell>
          <cell r="G100">
            <v>33860</v>
          </cell>
        </row>
        <row r="101">
          <cell r="B101" t="str">
            <v>02.6000</v>
          </cell>
          <cell r="C101" t="str">
            <v>C«ng t¸c thÝ nghiÖm hiÖu chØnh c¸ch c¸p lùc</v>
          </cell>
        </row>
        <row r="102">
          <cell r="B102" t="str">
            <v>02.6001</v>
          </cell>
          <cell r="C102" t="str">
            <v>TN - HC c¸p lùc, ®iÖn ¸p 220 KV</v>
          </cell>
          <cell r="D102" t="str">
            <v xml:space="preserve">C¸i </v>
          </cell>
          <cell r="E102">
            <v>4710</v>
          </cell>
          <cell r="F102">
            <v>55363</v>
          </cell>
          <cell r="G102">
            <v>70857</v>
          </cell>
        </row>
        <row r="103">
          <cell r="B103" t="str">
            <v>02.6002</v>
          </cell>
          <cell r="C103" t="str">
            <v>TN - HC c¸p lùc, ®iÖn ¸p 66-110 KV</v>
          </cell>
          <cell r="D103" t="str">
            <v xml:space="preserve">C¸i </v>
          </cell>
          <cell r="E103">
            <v>3768</v>
          </cell>
          <cell r="F103">
            <v>44291</v>
          </cell>
          <cell r="G103">
            <v>56686</v>
          </cell>
        </row>
        <row r="104">
          <cell r="B104" t="str">
            <v>02.6003</v>
          </cell>
          <cell r="C104" t="str">
            <v xml:space="preserve">TN - HC c¸p lùc, ®iÖn ¸p 3-35 KV  </v>
          </cell>
          <cell r="D104" t="str">
            <v xml:space="preserve">C¸i </v>
          </cell>
          <cell r="E104">
            <v>3014</v>
          </cell>
          <cell r="F104">
            <v>20595</v>
          </cell>
          <cell r="G104">
            <v>45349</v>
          </cell>
        </row>
        <row r="105">
          <cell r="B105" t="str">
            <v>02.6004</v>
          </cell>
          <cell r="C105" t="str">
            <v>TN - HC c¸p lùc, ®iÖn ¸p &lt;1000 V</v>
          </cell>
          <cell r="D105" t="str">
            <v xml:space="preserve">C¸i </v>
          </cell>
          <cell r="E105">
            <v>410</v>
          </cell>
          <cell r="F105">
            <v>10298</v>
          </cell>
          <cell r="G105">
            <v>2247</v>
          </cell>
        </row>
        <row r="106">
          <cell r="C106" t="str">
            <v>C«ng t¸c thÝ nghiÖm hiÖu chØnh ¸p t« m¸t vµ khëi ®éng tõ =&gt;200A</v>
          </cell>
        </row>
        <row r="107">
          <cell r="A107" t="str">
            <v>MCCB-3f&gt;2000A</v>
          </cell>
          <cell r="B107" t="str">
            <v>02.7101</v>
          </cell>
          <cell r="C107" t="str">
            <v>TN - HC ¸p t« m¸t 3 pha, dßng ®iÖn &gt;2000A</v>
          </cell>
          <cell r="D107" t="str">
            <v xml:space="preserve">C¸i </v>
          </cell>
          <cell r="E107">
            <v>3826</v>
          </cell>
          <cell r="F107">
            <v>57301</v>
          </cell>
          <cell r="G107">
            <v>37963</v>
          </cell>
        </row>
        <row r="108">
          <cell r="A108" t="str">
            <v>MCCB-3f&gt;1000A</v>
          </cell>
          <cell r="B108" t="str">
            <v>02.7102</v>
          </cell>
          <cell r="C108" t="str">
            <v>TN - HC ¸p t« m¸t 3 pha, dßng ®iÖn 1000-2000A</v>
          </cell>
          <cell r="D108" t="str">
            <v xml:space="preserve">C¸i </v>
          </cell>
          <cell r="E108">
            <v>3061</v>
          </cell>
          <cell r="F108">
            <v>41256</v>
          </cell>
          <cell r="G108">
            <v>30770</v>
          </cell>
        </row>
        <row r="109">
          <cell r="A109" t="str">
            <v>MCCB-3f&gt;500A</v>
          </cell>
          <cell r="B109" t="str">
            <v>02.7103</v>
          </cell>
          <cell r="C109" t="str">
            <v>TN - HC ¸p t« m¸t 3 pha, ®iÖn ¸p 500-&lt;1000A</v>
          </cell>
          <cell r="D109" t="str">
            <v xml:space="preserve">C¸i </v>
          </cell>
          <cell r="E109">
            <v>2449</v>
          </cell>
          <cell r="F109">
            <v>28879</v>
          </cell>
          <cell r="G109">
            <v>27939</v>
          </cell>
        </row>
        <row r="110">
          <cell r="A110" t="str">
            <v>MCCB-3f&gt;200A</v>
          </cell>
          <cell r="B110" t="str">
            <v>02.7104</v>
          </cell>
          <cell r="C110" t="str">
            <v>TN - HC ¸p t« m¸t 3 pha, dßng ®iÖn 200-&lt;500A</v>
          </cell>
          <cell r="D110" t="str">
            <v xml:space="preserve">C¸i </v>
          </cell>
          <cell r="E110">
            <v>1959</v>
          </cell>
          <cell r="F110">
            <v>23104</v>
          </cell>
          <cell r="G110">
            <v>20119</v>
          </cell>
        </row>
        <row r="111">
          <cell r="C111" t="str">
            <v>C«ng t¸c thÝ nghiÖm hiÖu chØnh ¸p t« m¸t &lt;200A</v>
          </cell>
        </row>
        <row r="112">
          <cell r="A112" t="str">
            <v>MCCB-3f&gt;100A</v>
          </cell>
          <cell r="B112" t="str">
            <v>02.7201</v>
          </cell>
          <cell r="C112" t="str">
            <v>TN - HC ¸p t« m¸t 3 pha, dßng ®iÖn &lt;200A</v>
          </cell>
          <cell r="D112" t="str">
            <v xml:space="preserve">C¸i </v>
          </cell>
          <cell r="E112">
            <v>1371</v>
          </cell>
          <cell r="F112">
            <v>20331</v>
          </cell>
          <cell r="G112">
            <v>12712</v>
          </cell>
        </row>
        <row r="113">
          <cell r="A113" t="str">
            <v>MCCB-3f&gt;50A</v>
          </cell>
          <cell r="B113" t="str">
            <v>02.7202</v>
          </cell>
          <cell r="C113" t="str">
            <v>TN - HC ¸p t« m¸t 3 pha, dßng ®iÖn &lt;100A</v>
          </cell>
          <cell r="D113" t="str">
            <v xml:space="preserve">C¸i </v>
          </cell>
          <cell r="E113">
            <v>960</v>
          </cell>
          <cell r="F113">
            <v>14232</v>
          </cell>
          <cell r="G113">
            <v>8898</v>
          </cell>
        </row>
        <row r="114">
          <cell r="A114" t="str">
            <v>MCCB-3f&gt;10A</v>
          </cell>
          <cell r="B114" t="str">
            <v>02.7203</v>
          </cell>
          <cell r="C114" t="str">
            <v>TN - HC ¸p t« m¸t 3 pha, ®iÖn ¸p &lt;50A</v>
          </cell>
          <cell r="D114" t="str">
            <v xml:space="preserve">C¸i </v>
          </cell>
          <cell r="E114">
            <v>672</v>
          </cell>
          <cell r="F114">
            <v>9962</v>
          </cell>
          <cell r="G114">
            <v>6229</v>
          </cell>
        </row>
        <row r="115">
          <cell r="A115" t="str">
            <v>MCCB-3f&lt;10A</v>
          </cell>
          <cell r="B115" t="str">
            <v>02.7204</v>
          </cell>
          <cell r="C115" t="str">
            <v>TN - HC ¸p t« m¸t 3 pha,  dßng ®iÖn &lt;10A</v>
          </cell>
          <cell r="D115" t="str">
            <v xml:space="preserve">C¸i </v>
          </cell>
          <cell r="E115">
            <v>470</v>
          </cell>
          <cell r="F115">
            <v>6974</v>
          </cell>
          <cell r="G115">
            <v>4360</v>
          </cell>
        </row>
        <row r="116">
          <cell r="C116" t="str">
            <v>C«ng t¸c thÝ nghiÖm hiÖu chØnh ¸p t« m¸t &lt;200A</v>
          </cell>
        </row>
        <row r="117">
          <cell r="A117" t="str">
            <v>MCCB-1f&gt;100A</v>
          </cell>
          <cell r="B117" t="str">
            <v>02.7201</v>
          </cell>
          <cell r="C117" t="str">
            <v>TN - HC ¸p t« m¸t 1 pha, dßng ®iÖn &lt;200A</v>
          </cell>
          <cell r="D117" t="str">
            <v xml:space="preserve">C¸i </v>
          </cell>
          <cell r="E117">
            <v>1371</v>
          </cell>
          <cell r="F117">
            <v>20331</v>
          </cell>
          <cell r="G117">
            <v>12712</v>
          </cell>
        </row>
        <row r="118">
          <cell r="A118" t="str">
            <v>MCCB-1f&gt;50A</v>
          </cell>
          <cell r="B118" t="str">
            <v>02.7202</v>
          </cell>
          <cell r="C118" t="str">
            <v>TN - HC ¸p t« m¸t 1 pha, dßng ®iÖn &lt;100A</v>
          </cell>
          <cell r="D118" t="str">
            <v xml:space="preserve">C¸i </v>
          </cell>
          <cell r="E118">
            <v>960</v>
          </cell>
          <cell r="F118">
            <v>14232</v>
          </cell>
          <cell r="G118">
            <v>8898</v>
          </cell>
        </row>
        <row r="119">
          <cell r="A119" t="str">
            <v>MCCB-1f&gt;10A</v>
          </cell>
          <cell r="B119" t="str">
            <v>02.7203</v>
          </cell>
          <cell r="C119" t="str">
            <v>TN - HC ¸p t« m¸t 1 pha, ®iÖn ¸p &lt;50A</v>
          </cell>
          <cell r="D119" t="str">
            <v xml:space="preserve">C¸i </v>
          </cell>
          <cell r="E119">
            <v>672</v>
          </cell>
          <cell r="F119">
            <v>9962</v>
          </cell>
          <cell r="G119">
            <v>6229</v>
          </cell>
        </row>
        <row r="120">
          <cell r="A120" t="str">
            <v>MCCB-1f&lt;10A</v>
          </cell>
          <cell r="B120" t="str">
            <v>02.7204</v>
          </cell>
          <cell r="C120" t="str">
            <v>TN - HC ¸p t« m¸t 1 pha,  dßng ®iÖn &lt;10A</v>
          </cell>
          <cell r="D120" t="str">
            <v xml:space="preserve">C¸i </v>
          </cell>
          <cell r="E120">
            <v>470</v>
          </cell>
          <cell r="F120">
            <v>6974</v>
          </cell>
          <cell r="G120">
            <v>4360</v>
          </cell>
        </row>
        <row r="121">
          <cell r="C121" t="str">
            <v>C«ng t¸c thÝ nghiÖm hiÖu chØnh khëi ®éng tõ =&gt;200A</v>
          </cell>
        </row>
        <row r="122">
          <cell r="A122" t="str">
            <v>KDT-3f&gt;2000A</v>
          </cell>
          <cell r="B122" t="str">
            <v>02.7101</v>
          </cell>
          <cell r="C122" t="str">
            <v>TN - HC khëi ®éng tõ 3 pha, dßng ®iÖn &gt;2000A</v>
          </cell>
          <cell r="D122" t="str">
            <v xml:space="preserve">C¸i </v>
          </cell>
          <cell r="E122">
            <v>3826</v>
          </cell>
          <cell r="F122">
            <v>57301</v>
          </cell>
          <cell r="G122">
            <v>37963</v>
          </cell>
        </row>
        <row r="123">
          <cell r="A123" t="str">
            <v>KDT-3f&gt;1000A</v>
          </cell>
          <cell r="B123" t="str">
            <v>02.7102</v>
          </cell>
          <cell r="C123" t="str">
            <v>TN - HC khëi ®éng tõ 3 pha, dßng ®iÖn 1000-2000A</v>
          </cell>
          <cell r="D123" t="str">
            <v xml:space="preserve">C¸i </v>
          </cell>
          <cell r="E123">
            <v>3061</v>
          </cell>
          <cell r="F123">
            <v>41256</v>
          </cell>
          <cell r="G123">
            <v>30770</v>
          </cell>
        </row>
        <row r="124">
          <cell r="A124" t="str">
            <v>KDT-3f&gt;500A</v>
          </cell>
          <cell r="B124" t="str">
            <v>02.7103</v>
          </cell>
          <cell r="C124" t="str">
            <v>TN - HC khëi ®éng tõ 3 pha, ®iÖn ¸p 500-1000A</v>
          </cell>
          <cell r="D124" t="str">
            <v xml:space="preserve">C¸i </v>
          </cell>
          <cell r="E124">
            <v>2449</v>
          </cell>
          <cell r="F124">
            <v>28879</v>
          </cell>
          <cell r="G124">
            <v>27939</v>
          </cell>
        </row>
        <row r="125">
          <cell r="A125" t="str">
            <v>KDT-3f&gt;200A</v>
          </cell>
          <cell r="B125" t="str">
            <v>02.7104</v>
          </cell>
          <cell r="C125" t="str">
            <v>TN - HC khëi ®éng tõ 3 pha,  dßng ®iÖn 200-500A</v>
          </cell>
          <cell r="D125" t="str">
            <v xml:space="preserve">C¸i </v>
          </cell>
          <cell r="E125">
            <v>1959</v>
          </cell>
          <cell r="F125">
            <v>23104</v>
          </cell>
          <cell r="G125">
            <v>20119</v>
          </cell>
        </row>
        <row r="126">
          <cell r="C126" t="str">
            <v>C«ng t¸c thÝ nghiÖm hiÖu chØnh khëi ®éng tõ &lt;200A</v>
          </cell>
        </row>
        <row r="127">
          <cell r="A127" t="str">
            <v>KDT-3f&gt;100A</v>
          </cell>
          <cell r="B127" t="str">
            <v>02.7201</v>
          </cell>
          <cell r="C127" t="str">
            <v>TN - HC khëi ®éng tõ 3 pha, dßng ®iÖn &lt;200A</v>
          </cell>
          <cell r="D127" t="str">
            <v xml:space="preserve">C¸i </v>
          </cell>
          <cell r="E127">
            <v>1371</v>
          </cell>
          <cell r="F127">
            <v>20331</v>
          </cell>
          <cell r="G127">
            <v>12712</v>
          </cell>
        </row>
        <row r="128">
          <cell r="A128" t="str">
            <v>KDT-3f&gt;50A</v>
          </cell>
          <cell r="B128" t="str">
            <v>02.7202</v>
          </cell>
          <cell r="C128" t="str">
            <v>TN - HC khëi ®éng tõ 3 pha, dßng ®iÖn &lt;100A</v>
          </cell>
          <cell r="D128" t="str">
            <v xml:space="preserve">C¸i </v>
          </cell>
          <cell r="E128">
            <v>960</v>
          </cell>
          <cell r="F128">
            <v>14232</v>
          </cell>
          <cell r="G128">
            <v>8898</v>
          </cell>
        </row>
        <row r="129">
          <cell r="A129" t="str">
            <v>KDT-3f&gt;10A</v>
          </cell>
          <cell r="B129" t="str">
            <v>02.7203</v>
          </cell>
          <cell r="C129" t="str">
            <v>TN - HC khëi ®éng tõ 3 pha, ®iÖn ¸p &lt;50A</v>
          </cell>
          <cell r="D129" t="str">
            <v xml:space="preserve">C¸i </v>
          </cell>
          <cell r="E129">
            <v>672</v>
          </cell>
          <cell r="F129">
            <v>9962</v>
          </cell>
          <cell r="G129">
            <v>6229</v>
          </cell>
        </row>
        <row r="130">
          <cell r="A130" t="str">
            <v>KDT-3f&lt;10A</v>
          </cell>
          <cell r="B130" t="str">
            <v>02.7204</v>
          </cell>
          <cell r="C130" t="str">
            <v>TN - HC khëi ®éng tõ 3 pha,  dßng ®iÖn &lt;10A</v>
          </cell>
          <cell r="D130" t="str">
            <v xml:space="preserve">C¸i </v>
          </cell>
          <cell r="E130">
            <v>470</v>
          </cell>
          <cell r="F130">
            <v>6974</v>
          </cell>
          <cell r="G130">
            <v>4360</v>
          </cell>
        </row>
        <row r="131">
          <cell r="C131" t="str">
            <v>C«ng t¸c thÝ nghiÖm hiÖu chØnh khëi ®éng tõ &lt;200A</v>
          </cell>
        </row>
        <row r="132">
          <cell r="A132" t="str">
            <v>KDT-1f&gt;100A</v>
          </cell>
          <cell r="B132" t="str">
            <v>02.7201</v>
          </cell>
          <cell r="C132" t="str">
            <v>TN - HC khëi ®éng tõ 1 pha, dßng ®iÖn &lt;200A</v>
          </cell>
          <cell r="D132" t="str">
            <v xml:space="preserve">C¸i </v>
          </cell>
          <cell r="E132">
            <v>1371</v>
          </cell>
          <cell r="F132">
            <v>20331</v>
          </cell>
          <cell r="G132">
            <v>12712</v>
          </cell>
        </row>
        <row r="133">
          <cell r="A133" t="str">
            <v>KDT-1f&gt;50A</v>
          </cell>
          <cell r="B133" t="str">
            <v>02.7202</v>
          </cell>
          <cell r="C133" t="str">
            <v>TN - HC khëi ®éng tõ 1 pha, dßng ®iÖn &lt;100A</v>
          </cell>
          <cell r="D133" t="str">
            <v xml:space="preserve">C¸i </v>
          </cell>
          <cell r="E133">
            <v>960</v>
          </cell>
          <cell r="F133">
            <v>14232</v>
          </cell>
          <cell r="G133">
            <v>8898</v>
          </cell>
        </row>
        <row r="134">
          <cell r="A134" t="str">
            <v>KDT-1f&gt;10A</v>
          </cell>
          <cell r="B134" t="str">
            <v>02.7201</v>
          </cell>
          <cell r="C134" t="str">
            <v>TN - HC khëi ®éng tõ 1 pha, ®iÖn ¸p &lt;50A</v>
          </cell>
          <cell r="D134" t="str">
            <v xml:space="preserve">C¸i </v>
          </cell>
          <cell r="E134">
            <v>672</v>
          </cell>
          <cell r="F134">
            <v>9962</v>
          </cell>
          <cell r="G134">
            <v>6229</v>
          </cell>
        </row>
        <row r="135">
          <cell r="A135" t="str">
            <v>KDT-1f&lt;10A</v>
          </cell>
          <cell r="B135" t="str">
            <v>02.7204</v>
          </cell>
          <cell r="C135" t="str">
            <v>TN - HC khëi ®éng tõ 1 pha,  dßng ®iÖn &lt;10A</v>
          </cell>
          <cell r="D135" t="str">
            <v xml:space="preserve">C¸i </v>
          </cell>
          <cell r="E135">
            <v>470</v>
          </cell>
          <cell r="F135">
            <v>6974</v>
          </cell>
          <cell r="G135">
            <v>4360</v>
          </cell>
        </row>
        <row r="136">
          <cell r="C136" t="str">
            <v>C«ng t¸c thÝ nghiÖm hiÖu chØnh chèng sÐt van 22-500KV</v>
          </cell>
        </row>
        <row r="137">
          <cell r="B137" t="str">
            <v>03.1101</v>
          </cell>
          <cell r="C137" t="str">
            <v>TN - HC chèng sÐt van, ®iÖn ¸p 500KV</v>
          </cell>
          <cell r="D137" t="str">
            <v xml:space="preserve">p.tö </v>
          </cell>
          <cell r="E137">
            <v>1780</v>
          </cell>
          <cell r="F137">
            <v>12199</v>
          </cell>
          <cell r="G137">
            <v>33851</v>
          </cell>
        </row>
        <row r="138">
          <cell r="B138" t="str">
            <v>03.1102</v>
          </cell>
          <cell r="C138" t="str">
            <v>TN - HC chèng sÐt van, ®iÖn ¸p 220KV</v>
          </cell>
          <cell r="D138" t="str">
            <v xml:space="preserve">p.tö </v>
          </cell>
          <cell r="E138">
            <v>1602</v>
          </cell>
          <cell r="F138">
            <v>10980</v>
          </cell>
          <cell r="G138">
            <v>30466</v>
          </cell>
        </row>
        <row r="139">
          <cell r="B139" t="str">
            <v>03.1103</v>
          </cell>
          <cell r="C139" t="str">
            <v>TN - HC chèng sÐt van, ®iÖn ¸p 66-110KV</v>
          </cell>
          <cell r="D139" t="str">
            <v xml:space="preserve">p.tö </v>
          </cell>
          <cell r="E139">
            <v>1442</v>
          </cell>
          <cell r="F139">
            <v>9882</v>
          </cell>
          <cell r="G139">
            <v>27419</v>
          </cell>
        </row>
        <row r="140">
          <cell r="B140" t="str">
            <v>03.1104</v>
          </cell>
          <cell r="C140" t="str">
            <v>TN - HC chèng sÐt van, ®iÖn ¸p 22-35KV</v>
          </cell>
          <cell r="D140" t="str">
            <v xml:space="preserve">c¸i </v>
          </cell>
          <cell r="E140">
            <v>1153</v>
          </cell>
          <cell r="F140">
            <v>7905</v>
          </cell>
          <cell r="G140">
            <v>21935</v>
          </cell>
        </row>
        <row r="141">
          <cell r="C141" t="str">
            <v>C«ng t¸c thÝ nghiÖm hiÖu chØnh chèng sÐt van ®Õn 15KV</v>
          </cell>
        </row>
        <row r="142">
          <cell r="B142" t="str">
            <v>03.1201</v>
          </cell>
          <cell r="C142" t="str">
            <v>TN - HC chèng sÐt van, ®iÖn ¸p 10-15KV</v>
          </cell>
          <cell r="D142" t="str">
            <v xml:space="preserve">c¸i </v>
          </cell>
          <cell r="E142">
            <v>923</v>
          </cell>
          <cell r="F142">
            <v>6324</v>
          </cell>
          <cell r="G142">
            <v>17548</v>
          </cell>
        </row>
        <row r="143">
          <cell r="B143" t="str">
            <v>03.1202</v>
          </cell>
          <cell r="C143" t="str">
            <v>TN - HC chèng sÐt van, ®iÖn ¸p 3-6KV</v>
          </cell>
          <cell r="D143" t="str">
            <v xml:space="preserve">c¸i </v>
          </cell>
          <cell r="E143">
            <v>830</v>
          </cell>
          <cell r="F143">
            <v>5692</v>
          </cell>
          <cell r="G143">
            <v>15793</v>
          </cell>
        </row>
        <row r="144">
          <cell r="B144" t="str">
            <v>03.1203</v>
          </cell>
          <cell r="C144" t="str">
            <v>TN - HC chèng sÐt van, ®iÖn ¸p &lt;1KV</v>
          </cell>
          <cell r="D144" t="str">
            <v xml:space="preserve">c¸i </v>
          </cell>
          <cell r="E144">
            <v>166</v>
          </cell>
          <cell r="F144">
            <v>2846</v>
          </cell>
          <cell r="G144">
            <v>7897</v>
          </cell>
        </row>
        <row r="145">
          <cell r="B145" t="str">
            <v>03.1204</v>
          </cell>
          <cell r="C145" t="str">
            <v>TN - HC thiÕt bÞ ®Õm  sÐt</v>
          </cell>
          <cell r="D145" t="str">
            <v xml:space="preserve">c¸i </v>
          </cell>
          <cell r="E145">
            <v>415</v>
          </cell>
          <cell r="F145">
            <v>3415</v>
          </cell>
          <cell r="G145">
            <v>1534</v>
          </cell>
        </row>
        <row r="146">
          <cell r="C146" t="str">
            <v>C«ng t¸c thÝ nghiÖm hiÖu chØnh tiÕp ®Êt tr¹m biÕn ¸p</v>
          </cell>
        </row>
        <row r="147">
          <cell r="B147" t="str">
            <v>03.2101</v>
          </cell>
          <cell r="C147" t="str">
            <v>TN - HC tiÕp ®Êt tr¹m biÕn ¸p, ®iÖn ¸p 220-500KV</v>
          </cell>
          <cell r="D147" t="str">
            <v>h.thèng</v>
          </cell>
          <cell r="E147">
            <v>17500</v>
          </cell>
          <cell r="F147">
            <v>166357</v>
          </cell>
          <cell r="G147">
            <v>56427</v>
          </cell>
        </row>
        <row r="148">
          <cell r="B148" t="str">
            <v>03.2102</v>
          </cell>
          <cell r="C148" t="str">
            <v>TN - HC tiÕp ®Êt tr¹m biÕn ¸p, ®iÖn ¸p 66-110KV</v>
          </cell>
          <cell r="D148" t="str">
            <v>h.thèng</v>
          </cell>
          <cell r="E148">
            <v>14000</v>
          </cell>
          <cell r="F148">
            <v>133085</v>
          </cell>
          <cell r="G148">
            <v>45142</v>
          </cell>
        </row>
        <row r="149">
          <cell r="B149" t="str">
            <v>03.2103</v>
          </cell>
          <cell r="C149" t="str">
            <v>TN - HC tiÕp ®Êt tr¹m biÕn ¸p, ®iÖn ¸p &lt;=35KV</v>
          </cell>
          <cell r="D149" t="str">
            <v>h.thèng</v>
          </cell>
          <cell r="E149">
            <v>7000</v>
          </cell>
          <cell r="F149">
            <v>66543</v>
          </cell>
          <cell r="G149">
            <v>17180</v>
          </cell>
        </row>
        <row r="150">
          <cell r="C150" t="str">
            <v>C«ng t¸c thÝ nghiÖm hiÖu chØnh tiÕp ®Êt cña cét ®iÖn, cét thu l«i vµ ®iÖn trë suÊt cña cét</v>
          </cell>
        </row>
        <row r="151">
          <cell r="B151" t="str">
            <v>03.2201</v>
          </cell>
          <cell r="C151" t="str">
            <v>TN - HC tiÕp ®Êt cét ®iÖn, cét thu l«i</v>
          </cell>
          <cell r="D151" t="str">
            <v>VÞ trÝ</v>
          </cell>
          <cell r="E151">
            <v>1050</v>
          </cell>
          <cell r="F151">
            <v>22181</v>
          </cell>
          <cell r="G151">
            <v>3693</v>
          </cell>
        </row>
        <row r="152">
          <cell r="B152" t="str">
            <v>03.2202</v>
          </cell>
          <cell r="C152" t="str">
            <v>TN - HC tiÕp ®Êt ®iÖn trë suÊt cña ®Êt</v>
          </cell>
          <cell r="D152" t="str">
            <v>VÞ trÝ</v>
          </cell>
          <cell r="E152">
            <v>1575</v>
          </cell>
          <cell r="F152">
            <v>33271</v>
          </cell>
          <cell r="G152">
            <v>9414</v>
          </cell>
        </row>
        <row r="153">
          <cell r="C153" t="str">
            <v>C«ng t¸c thÝ nghiÖm hiÖu chØnh r¬le so lÖch</v>
          </cell>
        </row>
        <row r="154">
          <cell r="B154" t="str">
            <v>04.1101</v>
          </cell>
          <cell r="C154" t="str">
            <v>TN - HC r¬le so lÖch m¸y biÕn ¸p</v>
          </cell>
          <cell r="D154" t="str">
            <v xml:space="preserve">C¸i </v>
          </cell>
          <cell r="E154">
            <v>2557</v>
          </cell>
          <cell r="F154">
            <v>110904</v>
          </cell>
          <cell r="G154">
            <v>85589</v>
          </cell>
        </row>
        <row r="155">
          <cell r="B155" t="str">
            <v>04.1102</v>
          </cell>
          <cell r="C155" t="str">
            <v>TN - HC r¬le so lÖch thanh c¸i</v>
          </cell>
          <cell r="D155" t="str">
            <v xml:space="preserve">C¸i </v>
          </cell>
          <cell r="E155">
            <v>2813</v>
          </cell>
          <cell r="F155">
            <v>121995</v>
          </cell>
          <cell r="G155">
            <v>85589</v>
          </cell>
        </row>
        <row r="156">
          <cell r="B156" t="str">
            <v>04.1103</v>
          </cell>
          <cell r="C156" t="str">
            <v>TN - HC r¬le so lÖch trë kh¸ng cao</v>
          </cell>
          <cell r="D156" t="str">
            <v xml:space="preserve">C¸i </v>
          </cell>
          <cell r="E156">
            <v>5114</v>
          </cell>
          <cell r="F156">
            <v>199628</v>
          </cell>
          <cell r="G156">
            <v>85589</v>
          </cell>
        </row>
        <row r="157">
          <cell r="B157" t="str">
            <v>04.1104</v>
          </cell>
          <cell r="C157" t="str">
            <v xml:space="preserve">TN - HC r¬le so lÖch kÜ thuËt sè </v>
          </cell>
          <cell r="D157" t="str">
            <v xml:space="preserve">C¸i </v>
          </cell>
          <cell r="E157">
            <v>2046</v>
          </cell>
          <cell r="F157">
            <v>277261</v>
          </cell>
          <cell r="G157">
            <v>74593</v>
          </cell>
        </row>
        <row r="158">
          <cell r="C158" t="str">
            <v>C«ng t¸c thÝ nghiÖm hiÖu chØnh r¬le kho¶ng c¸ch</v>
          </cell>
        </row>
        <row r="159">
          <cell r="B159" t="str">
            <v>04.1201</v>
          </cell>
          <cell r="C159" t="str">
            <v>TN - HC r¬le kho¶ng c¸ch diÖn tõ, ®iÖn tö</v>
          </cell>
          <cell r="D159" t="str">
            <v>bé</v>
          </cell>
          <cell r="E159">
            <v>4147</v>
          </cell>
          <cell r="F159">
            <v>332713</v>
          </cell>
          <cell r="G159">
            <v>336307</v>
          </cell>
        </row>
        <row r="160">
          <cell r="B160" t="str">
            <v>04.1202</v>
          </cell>
          <cell r="C160" t="str">
            <v>TN - HC r¬le kho¶ng c¸ch kü thuËt sè</v>
          </cell>
          <cell r="D160" t="str">
            <v>bé</v>
          </cell>
          <cell r="E160">
            <v>3732</v>
          </cell>
          <cell r="F160">
            <v>399256</v>
          </cell>
          <cell r="G160">
            <v>436579</v>
          </cell>
        </row>
        <row r="161">
          <cell r="C161" t="str">
            <v>C«ng t¸c thÝ nghiÖm hiÖu chØnh r¬le dßng ®iÖn, diÖn ¸p</v>
          </cell>
        </row>
        <row r="162">
          <cell r="B162" t="str">
            <v>04.1301</v>
          </cell>
          <cell r="C162" t="str">
            <v>TN - HC r¬le lo¹i ®iÖn ¸p ®iÖn tõ, ®iÖn tö</v>
          </cell>
          <cell r="D162" t="str">
            <v xml:space="preserve">C¸i </v>
          </cell>
          <cell r="E162">
            <v>2927</v>
          </cell>
          <cell r="F162">
            <v>147842</v>
          </cell>
          <cell r="G162">
            <v>208654</v>
          </cell>
        </row>
        <row r="163">
          <cell r="B163" t="str">
            <v>04.1302</v>
          </cell>
          <cell r="C163" t="str">
            <v xml:space="preserve">TN - HC r¬le lo¹i ®iÖn ¸p kü thuËt sè </v>
          </cell>
          <cell r="D163" t="str">
            <v xml:space="preserve">C¸i </v>
          </cell>
          <cell r="E163">
            <v>1464</v>
          </cell>
          <cell r="F163">
            <v>133085</v>
          </cell>
          <cell r="G163">
            <v>201991</v>
          </cell>
        </row>
        <row r="164">
          <cell r="B164" t="str">
            <v>04.1303</v>
          </cell>
          <cell r="C164" t="str">
            <v>TN - HC r¬le lo¹i dßng ®iÖn ®iÖn tõ, ®iÖn tö</v>
          </cell>
          <cell r="D164" t="str">
            <v xml:space="preserve">C¸i </v>
          </cell>
          <cell r="E164">
            <v>3075</v>
          </cell>
          <cell r="F164">
            <v>221809</v>
          </cell>
          <cell r="G164">
            <v>312144</v>
          </cell>
        </row>
        <row r="165">
          <cell r="B165" t="str">
            <v>04.1304</v>
          </cell>
          <cell r="C165" t="str">
            <v>TN - HC r¬le lo¹i dßng ®iÖn kü thu©t sè</v>
          </cell>
          <cell r="D165" t="str">
            <v xml:space="preserve">C¸i </v>
          </cell>
          <cell r="E165">
            <v>1538</v>
          </cell>
          <cell r="F165">
            <v>199628</v>
          </cell>
          <cell r="G165">
            <v>302315</v>
          </cell>
        </row>
        <row r="166">
          <cell r="C166" t="str">
            <v>C«ng t¸c thÝ nghiÖm hiÖu chØnh r¬le trung gian - thêi gian - tÝn hiÖu</v>
          </cell>
        </row>
        <row r="167">
          <cell r="B167" t="str">
            <v>04.1401</v>
          </cell>
          <cell r="C167" t="str">
            <v xml:space="preserve">TN - HC r¬le lo¹i trung gian-thêi gian ®iÖn tõ-®iÖn tö </v>
          </cell>
          <cell r="D167" t="str">
            <v xml:space="preserve">C¸i </v>
          </cell>
          <cell r="E167">
            <v>2046</v>
          </cell>
          <cell r="F167">
            <v>20332</v>
          </cell>
          <cell r="G167">
            <v>56127</v>
          </cell>
        </row>
        <row r="168">
          <cell r="B168" t="str">
            <v>04.1402</v>
          </cell>
          <cell r="C168" t="str">
            <v>TN - HC r¬le lo¹i trung gian-thêi gian kü thuËt sè</v>
          </cell>
          <cell r="D168" t="str">
            <v xml:space="preserve">C¸i </v>
          </cell>
          <cell r="E168">
            <v>1548</v>
          </cell>
          <cell r="F168">
            <v>16266</v>
          </cell>
          <cell r="G168">
            <v>55421</v>
          </cell>
        </row>
        <row r="169">
          <cell r="B169" t="str">
            <v>04.1403</v>
          </cell>
          <cell r="C169" t="str">
            <v>TN - HC r¬le lo¹i tÝn hiÖu ®iÖn tõ, ®iÖn tö</v>
          </cell>
          <cell r="D169" t="str">
            <v xml:space="preserve">C¸i </v>
          </cell>
          <cell r="E169">
            <v>1898</v>
          </cell>
          <cell r="F169">
            <v>18299</v>
          </cell>
          <cell r="G169">
            <v>50514</v>
          </cell>
        </row>
        <row r="170">
          <cell r="B170" t="str">
            <v>04.1404</v>
          </cell>
          <cell r="C170" t="str">
            <v>TN - HC r¬le lo¹i tÝn hiÖu kü thuËt sè</v>
          </cell>
          <cell r="D170" t="str">
            <v xml:space="preserve">C¸i </v>
          </cell>
          <cell r="E170">
            <v>1474</v>
          </cell>
          <cell r="F170">
            <v>14639</v>
          </cell>
          <cell r="G170">
            <v>49879</v>
          </cell>
        </row>
        <row r="171">
          <cell r="C171" t="str">
            <v>C«ng t¸c thÝ nghiÖm hiÖu chØnh r¬le dßng ®iÖn vµ ®iÖn ¸p thø tù nghÞch, tÇn sè</v>
          </cell>
        </row>
        <row r="172">
          <cell r="B172" t="str">
            <v>04.1501</v>
          </cell>
          <cell r="C172" t="str">
            <v>TN - HC r¬le c«ng suÊt U2,I2 ®iÖn tõ, ®iÖn tö</v>
          </cell>
          <cell r="D172" t="str">
            <v xml:space="preserve">C¸i </v>
          </cell>
          <cell r="E172">
            <v>4147</v>
          </cell>
          <cell r="F172">
            <v>83178</v>
          </cell>
          <cell r="G172">
            <v>111321</v>
          </cell>
        </row>
        <row r="173">
          <cell r="B173" t="str">
            <v>04.1502</v>
          </cell>
          <cell r="C173" t="str">
            <v>TN - HC r¬le c«ng suÊt U2,I2 kü thuËt sè</v>
          </cell>
          <cell r="D173" t="str">
            <v xml:space="preserve">C¸i </v>
          </cell>
          <cell r="E173">
            <v>2874</v>
          </cell>
          <cell r="F173">
            <v>74860</v>
          </cell>
          <cell r="G173">
            <v>110097</v>
          </cell>
        </row>
        <row r="174">
          <cell r="B174" t="str">
            <v>04.1503</v>
          </cell>
          <cell r="C174" t="str">
            <v>TN - HC r¬le tÇn sè ®iÖn tõ, ®iÖn tö</v>
          </cell>
          <cell r="D174" t="str">
            <v xml:space="preserve">C¸i </v>
          </cell>
          <cell r="E174">
            <v>3407</v>
          </cell>
          <cell r="F174">
            <v>66543</v>
          </cell>
          <cell r="G174">
            <v>50514</v>
          </cell>
        </row>
        <row r="175">
          <cell r="B175" t="str">
            <v>04.1504</v>
          </cell>
          <cell r="C175" t="str">
            <v xml:space="preserve">TN - HC r¬le tÇn sè kü thuËt sè </v>
          </cell>
          <cell r="D175" t="str">
            <v xml:space="preserve">C¸i </v>
          </cell>
          <cell r="E175">
            <v>2504</v>
          </cell>
          <cell r="F175">
            <v>59888</v>
          </cell>
          <cell r="G175">
            <v>59347</v>
          </cell>
        </row>
        <row r="176">
          <cell r="C176" t="str">
            <v>C«ng t¸c thÝ nghiÖm hiÖu chØnh r¬le c¾t ®Çu ra, b¶o vÖ chèng h­ háng m¸y ng¾t</v>
          </cell>
        </row>
        <row r="177">
          <cell r="B177" t="str">
            <v>04.1601</v>
          </cell>
          <cell r="C177" t="str">
            <v>TN - HC r¬le c¾t (®Çu ra) ®iÖn tõ, ®iÖn tö</v>
          </cell>
          <cell r="D177" t="str">
            <v>bé</v>
          </cell>
          <cell r="E177">
            <v>2430</v>
          </cell>
          <cell r="F177">
            <v>22366</v>
          </cell>
          <cell r="G177">
            <v>56127</v>
          </cell>
        </row>
        <row r="178">
          <cell r="B178" t="str">
            <v>04.1602</v>
          </cell>
          <cell r="C178" t="str">
            <v xml:space="preserve">TN - HC r¬le c¾t (®Çu ra) kü thuËt sè </v>
          </cell>
          <cell r="D178" t="str">
            <v>bé</v>
          </cell>
          <cell r="E178">
            <v>1855</v>
          </cell>
          <cell r="F178">
            <v>17893</v>
          </cell>
          <cell r="G178">
            <v>55421</v>
          </cell>
        </row>
        <row r="179">
          <cell r="B179" t="str">
            <v>04.1603</v>
          </cell>
          <cell r="C179" t="str">
            <v>TN - HC r¬le chèng háng m¸y ng¾t ®iÖn tõ, ®iÖn tö</v>
          </cell>
          <cell r="D179" t="str">
            <v>bé</v>
          </cell>
          <cell r="E179">
            <v>2578</v>
          </cell>
          <cell r="F179">
            <v>55914</v>
          </cell>
          <cell r="G179">
            <v>138918</v>
          </cell>
        </row>
        <row r="180">
          <cell r="B180" t="str">
            <v>04.1604</v>
          </cell>
          <cell r="C180" t="str">
            <v>TN - HC r¬le chèng háng m¸y kü thuËt sè</v>
          </cell>
          <cell r="D180" t="str">
            <v>bé</v>
          </cell>
          <cell r="E180">
            <v>1929</v>
          </cell>
          <cell r="F180">
            <v>50323</v>
          </cell>
          <cell r="G180">
            <v>82759</v>
          </cell>
        </row>
        <row r="181">
          <cell r="C181" t="str">
            <v>C«ng t¸c thÝ nghiÖm hiÖu chØnh r¬le hîp bé: tù ®éng ®ãng l¹i, kiÓm tra ®ång bé</v>
          </cell>
        </row>
        <row r="182">
          <cell r="B182" t="str">
            <v>04.1701</v>
          </cell>
          <cell r="C182" t="str">
            <v xml:space="preserve">TN - HC r¬le tù ®éng ®ãng l¹i ®iÖn tõ, ®iÖn tö </v>
          </cell>
          <cell r="D182" t="str">
            <v>bé</v>
          </cell>
          <cell r="E182">
            <v>4147</v>
          </cell>
          <cell r="F182">
            <v>66543</v>
          </cell>
          <cell r="G182">
            <v>111321</v>
          </cell>
        </row>
        <row r="183">
          <cell r="B183" t="str">
            <v>04.1702</v>
          </cell>
          <cell r="C183" t="str">
            <v>TN - HC r¬le tù ®éng ®ãng l¹i kü thuËt sè</v>
          </cell>
          <cell r="D183" t="str">
            <v>bé</v>
          </cell>
          <cell r="E183">
            <v>2074</v>
          </cell>
          <cell r="F183">
            <v>59888</v>
          </cell>
          <cell r="G183">
            <v>76701</v>
          </cell>
        </row>
        <row r="184">
          <cell r="B184" t="str">
            <v>04.1703</v>
          </cell>
          <cell r="C184" t="str">
            <v>TN - HC r¬le kiÓm tra ®ång bé ®iÖn tõ, ®iÖn tö</v>
          </cell>
          <cell r="D184" t="str">
            <v>bé</v>
          </cell>
          <cell r="E184">
            <v>4443</v>
          </cell>
          <cell r="F184">
            <v>79851</v>
          </cell>
          <cell r="G184">
            <v>133305</v>
          </cell>
        </row>
        <row r="185">
          <cell r="B185" t="str">
            <v>04.1704</v>
          </cell>
          <cell r="C185" t="str">
            <v>TN - HC r¬le kiÓm tra ®ång bé kü thuËt sè</v>
          </cell>
          <cell r="D185" t="str">
            <v>bé</v>
          </cell>
          <cell r="E185">
            <v>3022</v>
          </cell>
          <cell r="F185">
            <v>63881</v>
          </cell>
          <cell r="G185">
            <v>108711</v>
          </cell>
        </row>
        <row r="186">
          <cell r="C186" t="str">
            <v>C«ng t¸c thÝ nghiÖm hiÖu chØnh r¬le hîp bé: tù ®éng ®iÒu chØnh ®iÖn ¸p, tù ®éng n¹p ¾c quy, ghi sù cè</v>
          </cell>
        </row>
        <row r="187">
          <cell r="B187" t="str">
            <v>04.1801</v>
          </cell>
          <cell r="C187" t="str">
            <v>TN - HC r¬le tù ®éng ®iÒu chØnh ®iÖn ¸p ®iÖn tõ, ®iÖn tö</v>
          </cell>
          <cell r="D187" t="str">
            <v>bé</v>
          </cell>
          <cell r="E187">
            <v>4147</v>
          </cell>
          <cell r="F187">
            <v>399256</v>
          </cell>
          <cell r="G187">
            <v>276904</v>
          </cell>
        </row>
        <row r="188">
          <cell r="B188" t="str">
            <v>04.1802</v>
          </cell>
          <cell r="C188" t="str">
            <v xml:space="preserve">TN - HC r¬le tù ®éng ®iÒu chØnh kü thuËt sè </v>
          </cell>
          <cell r="D188" t="str">
            <v>bé</v>
          </cell>
          <cell r="E188">
            <v>2570</v>
          </cell>
          <cell r="F188">
            <v>359330</v>
          </cell>
          <cell r="G188">
            <v>263324</v>
          </cell>
        </row>
        <row r="189">
          <cell r="B189" t="str">
            <v>04.1803</v>
          </cell>
          <cell r="C189" t="str">
            <v>TN - HC r¬le tù ®éng n¹p ¸c quy</v>
          </cell>
          <cell r="D189" t="str">
            <v>bé</v>
          </cell>
          <cell r="E189">
            <v>4251</v>
          </cell>
          <cell r="F189">
            <v>95821</v>
          </cell>
          <cell r="G189">
            <v>53610</v>
          </cell>
        </row>
        <row r="190">
          <cell r="B190" t="str">
            <v>04.1804</v>
          </cell>
          <cell r="C190" t="str">
            <v>TN - HC r¬le tù ®éng ghi sù cè</v>
          </cell>
          <cell r="D190" t="str">
            <v>bé</v>
          </cell>
          <cell r="E190">
            <v>5552</v>
          </cell>
          <cell r="F190">
            <v>399256</v>
          </cell>
          <cell r="G190">
            <v>264264</v>
          </cell>
        </row>
        <row r="191">
          <cell r="C191" t="str">
            <v xml:space="preserve">C«ng t¸c thÝ nghiÖm hiÖu chØnh r¬le: bé gi¸m s¸t m¹ch c¾t, gi¸m s¸t m¹ch dßng </v>
          </cell>
        </row>
        <row r="192">
          <cell r="B192" t="str">
            <v>04.1901</v>
          </cell>
          <cell r="C192" t="str">
            <v>TN - HC r¬le gi¸m s¸t m¹ch c¾t ®iÖn tõ, ®iÖn tö</v>
          </cell>
          <cell r="D192" t="str">
            <v>bé</v>
          </cell>
          <cell r="E192">
            <v>3555</v>
          </cell>
          <cell r="F192">
            <v>63881</v>
          </cell>
          <cell r="G192">
            <v>66699</v>
          </cell>
        </row>
        <row r="193">
          <cell r="B193" t="str">
            <v>04.1902</v>
          </cell>
          <cell r="C193" t="str">
            <v xml:space="preserve">TN - HC r¬le gi¸m s¸t m¹ch c¾t kü thuËt sè </v>
          </cell>
          <cell r="D193" t="str">
            <v>bé</v>
          </cell>
          <cell r="E193">
            <v>2578</v>
          </cell>
          <cell r="F193">
            <v>56285</v>
          </cell>
          <cell r="G193">
            <v>46076</v>
          </cell>
        </row>
        <row r="194">
          <cell r="B194" t="str">
            <v>04.1903</v>
          </cell>
          <cell r="C194" t="str">
            <v>TN - HC r¬le gi¸m s¸t m¹ch dßng ®iÖn tõ, ®iÖn tö</v>
          </cell>
          <cell r="D194" t="str">
            <v>bé</v>
          </cell>
          <cell r="E194">
            <v>3407</v>
          </cell>
          <cell r="F194">
            <v>53234</v>
          </cell>
          <cell r="G194">
            <v>55660</v>
          </cell>
        </row>
        <row r="195">
          <cell r="B195" t="str">
            <v>04.1904</v>
          </cell>
          <cell r="C195" t="str">
            <v>TN - HC r¬le gi¸m s¸t m¹ch dßng kü thuËt sè</v>
          </cell>
          <cell r="D195" t="str">
            <v>bé</v>
          </cell>
          <cell r="E195">
            <v>1704</v>
          </cell>
          <cell r="F195">
            <v>46905</v>
          </cell>
          <cell r="G195">
            <v>38350</v>
          </cell>
        </row>
        <row r="196">
          <cell r="C196" t="str">
            <v xml:space="preserve">C«ng t¸c thÝ nghiÖm hiÖu chØnh r¬le: h¬i, dßng ®Çu </v>
          </cell>
        </row>
        <row r="197">
          <cell r="B197" t="str">
            <v>04.2001</v>
          </cell>
          <cell r="C197" t="str">
            <v>TN - HC r¬le h¬i</v>
          </cell>
          <cell r="D197" t="str">
            <v>bé</v>
          </cell>
          <cell r="E197">
            <v>30176</v>
          </cell>
          <cell r="F197">
            <v>60997</v>
          </cell>
          <cell r="G197">
            <v>4122</v>
          </cell>
        </row>
        <row r="198">
          <cell r="B198" t="str">
            <v>04.2002</v>
          </cell>
          <cell r="C198" t="str">
            <v>TN - HC r¬le dßng ®Çu</v>
          </cell>
          <cell r="D198" t="str">
            <v>bé</v>
          </cell>
          <cell r="E198">
            <v>24141</v>
          </cell>
          <cell r="F198">
            <v>48798</v>
          </cell>
          <cell r="G198">
            <v>3298</v>
          </cell>
        </row>
        <row r="199">
          <cell r="C199" t="str">
            <v>C«ng t¸c thÝ nghiÖm hiÖu chØnh ®o l­êng ampemet, v«n mÐt</v>
          </cell>
        </row>
        <row r="200">
          <cell r="B200" t="str">
            <v>05.1001</v>
          </cell>
          <cell r="C200" t="str">
            <v>TN - HC ampe met lo¹i AC</v>
          </cell>
          <cell r="D200" t="str">
            <v xml:space="preserve">C¸i </v>
          </cell>
          <cell r="E200">
            <v>1671</v>
          </cell>
          <cell r="F200">
            <v>19519</v>
          </cell>
          <cell r="G200">
            <v>3501</v>
          </cell>
        </row>
        <row r="201">
          <cell r="B201" t="str">
            <v>05.1002</v>
          </cell>
          <cell r="C201" t="str">
            <v>TN - HC ampe met lo¹i DC</v>
          </cell>
          <cell r="D201" t="str">
            <v xml:space="preserve">C¸i </v>
          </cell>
          <cell r="E201">
            <v>1486</v>
          </cell>
          <cell r="F201">
            <v>17893</v>
          </cell>
          <cell r="G201">
            <v>3416</v>
          </cell>
        </row>
        <row r="202">
          <cell r="B202" t="str">
            <v>05.1003</v>
          </cell>
          <cell r="C202" t="str">
            <v>TN - HC v«n mÐt  lo¹i AC</v>
          </cell>
          <cell r="D202" t="str">
            <v xml:space="preserve">C¸i </v>
          </cell>
          <cell r="E202">
            <v>1671</v>
          </cell>
          <cell r="F202">
            <v>19519</v>
          </cell>
          <cell r="G202">
            <v>3680</v>
          </cell>
        </row>
        <row r="203">
          <cell r="B203" t="str">
            <v>05.1004</v>
          </cell>
          <cell r="C203" t="str">
            <v>TN - HC v«n mÐt  lo¹i DC</v>
          </cell>
          <cell r="D203" t="str">
            <v xml:space="preserve">C¸i </v>
          </cell>
          <cell r="E203">
            <v>1486</v>
          </cell>
          <cell r="F203">
            <v>17893</v>
          </cell>
          <cell r="G203">
            <v>3680</v>
          </cell>
        </row>
        <row r="204">
          <cell r="B204" t="str">
            <v>05.2000</v>
          </cell>
          <cell r="C204" t="str">
            <v>C«ng t¸c thÝ nghiÖm hiÖu chØnh ®o l­êng ampemet, v«n mÐt cã bé biÕn ®æi, b¸o ch¹m ®Êt, ®o ®é lÖch ®iÖn ¸p</v>
          </cell>
        </row>
        <row r="205">
          <cell r="C205" t="str">
            <v>chØ thÞ nÊc m¸y biÕn ¸p, ®ång bé kÕ, tÇn sè kÕ</v>
          </cell>
        </row>
        <row r="206">
          <cell r="B206" t="str">
            <v>05.2001</v>
          </cell>
          <cell r="C206" t="str">
            <v>TN - HC A.V cã bé biÕn ®æi</v>
          </cell>
          <cell r="D206" t="str">
            <v xml:space="preserve">C¸i </v>
          </cell>
          <cell r="E206">
            <v>1523</v>
          </cell>
          <cell r="F206">
            <v>20332</v>
          </cell>
          <cell r="G206">
            <v>3680</v>
          </cell>
        </row>
        <row r="207">
          <cell r="B207" t="str">
            <v>05.2002</v>
          </cell>
          <cell r="C207" t="str">
            <v>TN - HC ampe mÐt, v«n mÐt b¸o ch¹m ®Êt, lÖch ®iÖn ¸p</v>
          </cell>
          <cell r="D207" t="str">
            <v xml:space="preserve">C¸i </v>
          </cell>
          <cell r="E207">
            <v>1412</v>
          </cell>
          <cell r="F207">
            <v>20332</v>
          </cell>
          <cell r="G207">
            <v>3680</v>
          </cell>
        </row>
        <row r="208">
          <cell r="B208" t="str">
            <v>05.2003</v>
          </cell>
          <cell r="C208" t="str">
            <v>TN - HC ampe mÐt, v«n mÐt nÊc m¸y biÕn ¸p ®ång bé kÕ</v>
          </cell>
          <cell r="D208" t="str">
            <v xml:space="preserve">C¸i </v>
          </cell>
          <cell r="E208">
            <v>1745</v>
          </cell>
          <cell r="F208">
            <v>40665</v>
          </cell>
          <cell r="G208">
            <v>3680</v>
          </cell>
        </row>
        <row r="209">
          <cell r="B209" t="str">
            <v>05.2004</v>
          </cell>
          <cell r="C209" t="str">
            <v>TN - HC ampe mÐt, v«n mÐt tÇn sè kÕ</v>
          </cell>
          <cell r="D209" t="str">
            <v xml:space="preserve">C¸i </v>
          </cell>
          <cell r="E209">
            <v>1634</v>
          </cell>
          <cell r="F209">
            <v>36598</v>
          </cell>
          <cell r="G209">
            <v>4658</v>
          </cell>
        </row>
        <row r="210">
          <cell r="C210" t="str">
            <v xml:space="preserve">C«ng t¸c thÝ nghiÖm hiÖu chØnh ®ång hå, c«ng su¸t 3 pha h÷u c«ng, v« c«ng cã bé biÕn dæi vµ kh«ng cã </v>
          </cell>
        </row>
        <row r="211">
          <cell r="C211" t="str">
            <v xml:space="preserve">bé biÕn ®æi , gãc pha </v>
          </cell>
        </row>
        <row r="212">
          <cell r="B212" t="str">
            <v>05.3001</v>
          </cell>
          <cell r="C212" t="str">
            <v>TN - HC ®ång hå c«ng suÊt 3 pha-cã bé biÕn ¸p</v>
          </cell>
          <cell r="D212" t="str">
            <v xml:space="preserve">C¸i </v>
          </cell>
          <cell r="E212">
            <v>1634</v>
          </cell>
          <cell r="F212">
            <v>40665</v>
          </cell>
          <cell r="G212">
            <v>3416</v>
          </cell>
        </row>
        <row r="213">
          <cell r="B213" t="str">
            <v>05.3002</v>
          </cell>
          <cell r="C213" t="str">
            <v>TN - HC ®ång hå c«ng suÊt 3 pha-kh«ng cã bé biÕn ®æi</v>
          </cell>
          <cell r="D213" t="str">
            <v xml:space="preserve">C¸i </v>
          </cell>
          <cell r="E213">
            <v>1468</v>
          </cell>
          <cell r="F213">
            <v>32532</v>
          </cell>
          <cell r="G213">
            <v>3977</v>
          </cell>
        </row>
        <row r="214">
          <cell r="B214" t="str">
            <v>05.3003</v>
          </cell>
          <cell r="C214" t="str">
            <v xml:space="preserve">TN - HC ®ång hå gãc pha </v>
          </cell>
          <cell r="D214" t="str">
            <v xml:space="preserve">C¸i </v>
          </cell>
          <cell r="E214">
            <v>1634</v>
          </cell>
          <cell r="F214">
            <v>36598</v>
          </cell>
          <cell r="G214">
            <v>5431</v>
          </cell>
        </row>
        <row r="215">
          <cell r="C215" t="str">
            <v xml:space="preserve">C«ng t¸c thÝ nghiÖm hiÖu chØnh c«ng t¬, c«ng suÊt 3 pha h÷u c«ng, v« c«ng cã bé biÕn dæi vµ kh«ng cã </v>
          </cell>
        </row>
        <row r="216">
          <cell r="C216" t="str">
            <v xml:space="preserve">bé biÕn ®æi , c«ng t¬ 1 pha, c«ng t¬ 1 pha cã lËp tr×nh </v>
          </cell>
        </row>
        <row r="217">
          <cell r="B217" t="str">
            <v>05.4001</v>
          </cell>
          <cell r="C217" t="str">
            <v>TN - HC c«ng t¬ 3 pha-cã bé biÕn ¸p</v>
          </cell>
          <cell r="D217" t="str">
            <v xml:space="preserve">C¸i </v>
          </cell>
          <cell r="E217">
            <v>2411</v>
          </cell>
          <cell r="F217">
            <v>44326</v>
          </cell>
          <cell r="G217">
            <v>14486</v>
          </cell>
        </row>
        <row r="218">
          <cell r="B218" t="str">
            <v>05.4002</v>
          </cell>
          <cell r="C218" t="str">
            <v>TN - HC c«ng t¬ 3 pha-kh«ng cã bé biÕn ®æi</v>
          </cell>
          <cell r="D218" t="str">
            <v xml:space="preserve">C¸i </v>
          </cell>
          <cell r="E218">
            <v>2189</v>
          </cell>
          <cell r="F218">
            <v>28096</v>
          </cell>
          <cell r="G218">
            <v>14061</v>
          </cell>
        </row>
        <row r="219">
          <cell r="B219" t="str">
            <v>05.4003</v>
          </cell>
          <cell r="C219" t="str">
            <v>TN - HC c«ng t¬ 1 pha</v>
          </cell>
          <cell r="D219" t="str">
            <v xml:space="preserve">C¸i </v>
          </cell>
          <cell r="E219">
            <v>1856</v>
          </cell>
          <cell r="F219">
            <v>14048</v>
          </cell>
          <cell r="G219">
            <v>8235</v>
          </cell>
        </row>
        <row r="220">
          <cell r="B220" t="str">
            <v>05.4004</v>
          </cell>
          <cell r="C220" t="str">
            <v xml:space="preserve">TN - HC c«ng t¬ 3 pha lËp tr×nh </v>
          </cell>
          <cell r="D220" t="str">
            <v xml:space="preserve">C¸i </v>
          </cell>
          <cell r="E220">
            <v>2411</v>
          </cell>
          <cell r="F220">
            <v>125692</v>
          </cell>
          <cell r="G220">
            <v>39006</v>
          </cell>
        </row>
        <row r="221">
          <cell r="C221" t="str">
            <v>C«ng t¸c thÝ nghiÖm hiÖu chØnh hîp bé b¶o vÖ ®o l­êng ®a chøc n¨ng kü thuËt sè cã lËp tr×nh</v>
          </cell>
        </row>
        <row r="222">
          <cell r="B222" t="str">
            <v>05.5001</v>
          </cell>
          <cell r="C222" t="str">
            <v xml:space="preserve">TN - HC hîp bé b¶o vÖ ®o l­êng ®a chøc n¨ng kü thuËt sè cã lËp tr×nh </v>
          </cell>
          <cell r="D222" t="str">
            <v xml:space="preserve">C¸i </v>
          </cell>
          <cell r="E222">
            <v>4913</v>
          </cell>
          <cell r="F222">
            <v>277261</v>
          </cell>
          <cell r="G222">
            <v>127771</v>
          </cell>
        </row>
        <row r="223">
          <cell r="C223" t="str">
            <v>C«ng t¸c thÝ nghiÖm hiÖu chØnh ¸p kÕ ch©n kh«ng kÕ</v>
          </cell>
        </row>
        <row r="224">
          <cell r="B224" t="str">
            <v>06.1001</v>
          </cell>
          <cell r="C224" t="str">
            <v>TN - HC ¸p kÕ ch©n kh«ng kÕ kiÓu trùc tiÕp kh«ng tiÕp ®iÓm</v>
          </cell>
          <cell r="D224" t="str">
            <v xml:space="preserve">C¸i </v>
          </cell>
          <cell r="E224">
            <v>2759</v>
          </cell>
          <cell r="F224">
            <v>18484</v>
          </cell>
          <cell r="G224">
            <v>415</v>
          </cell>
        </row>
        <row r="225">
          <cell r="B225" t="str">
            <v>06.1002</v>
          </cell>
          <cell r="C225" t="str">
            <v>TN - HC ¸p kÕ ch©n kh«ng kÕ kiÓu trùc tiÕp cã tiÕp ®iÓm</v>
          </cell>
          <cell r="D225" t="str">
            <v xml:space="preserve">C¸i </v>
          </cell>
          <cell r="E225">
            <v>3090</v>
          </cell>
          <cell r="F225">
            <v>22181</v>
          </cell>
          <cell r="G225">
            <v>881</v>
          </cell>
        </row>
        <row r="226">
          <cell r="B226" t="str">
            <v>06.1003</v>
          </cell>
          <cell r="C226" t="str">
            <v xml:space="preserve">TN - HC ¸p kÕ ch©n kh«ng kÕ kiÓu nhiÖt gi·n në kh«ng tiÐp ®iÓm </v>
          </cell>
          <cell r="D226" t="str">
            <v xml:space="preserve">C¸i </v>
          </cell>
          <cell r="E226">
            <v>1080</v>
          </cell>
          <cell r="F226">
            <v>20332</v>
          </cell>
          <cell r="G226">
            <v>415</v>
          </cell>
        </row>
        <row r="227">
          <cell r="B227" t="str">
            <v>06.1004</v>
          </cell>
          <cell r="C227" t="str">
            <v xml:space="preserve">TN - HC ¸p kÕ ch©n kh«ng kÕ kiÓu nhiÖt gi·n në cã tiÐp ®iÓm </v>
          </cell>
          <cell r="D227" t="str">
            <v xml:space="preserve">C¸i </v>
          </cell>
          <cell r="E227">
            <v>1411</v>
          </cell>
          <cell r="F227">
            <v>24399</v>
          </cell>
          <cell r="G227">
            <v>881</v>
          </cell>
        </row>
        <row r="228">
          <cell r="C228" t="str">
            <v xml:space="preserve">C«ng t¸c thÝ nghiÖm hiÖu chØnh ®ång hå chØ møc, l­u l­îng cÇn ®o nhiÖt ®é chØ thÞ </v>
          </cell>
        </row>
        <row r="229">
          <cell r="B229" t="str">
            <v>06.2001</v>
          </cell>
          <cell r="C229" t="str">
            <v>TN - HC ®ång hå møc kiÓu phao, ®ång hå l­u l­îng</v>
          </cell>
          <cell r="D229" t="str">
            <v xml:space="preserve">C¸i </v>
          </cell>
          <cell r="E229">
            <v>1908</v>
          </cell>
          <cell r="F229">
            <v>12199</v>
          </cell>
          <cell r="G229">
            <v>415</v>
          </cell>
        </row>
        <row r="230">
          <cell r="B230" t="str">
            <v>06.2002</v>
          </cell>
          <cell r="C230" t="str">
            <v>TN - HC chØnh ¸p chØ møc</v>
          </cell>
          <cell r="D230" t="str">
            <v xml:space="preserve">C¸i </v>
          </cell>
          <cell r="E230">
            <v>2648</v>
          </cell>
          <cell r="F230">
            <v>36598</v>
          </cell>
          <cell r="G230">
            <v>694</v>
          </cell>
        </row>
        <row r="231">
          <cell r="B231" t="str">
            <v>06.2003</v>
          </cell>
          <cell r="C231" t="str">
            <v>TN - HC chØnh ¸p cã c«ng t¬</v>
          </cell>
          <cell r="D231" t="str">
            <v xml:space="preserve">C¸i </v>
          </cell>
          <cell r="E231">
            <v>3349</v>
          </cell>
          <cell r="F231">
            <v>43918</v>
          </cell>
          <cell r="G231">
            <v>694</v>
          </cell>
        </row>
        <row r="232">
          <cell r="B232" t="str">
            <v>06.2004</v>
          </cell>
          <cell r="C232" t="str">
            <v>TN - HC cÇu ®o nhiÖt ®é chØ thÞ</v>
          </cell>
          <cell r="D232" t="str">
            <v xml:space="preserve">C¸i </v>
          </cell>
          <cell r="E232">
            <v>3719</v>
          </cell>
          <cell r="F232">
            <v>24399</v>
          </cell>
          <cell r="G232">
            <v>280</v>
          </cell>
        </row>
        <row r="233">
          <cell r="C233" t="str">
            <v>C«ng t¸c thÝ nghiÖm hiÖu chØnh r¬ le ¸p lùc ch©n kh«ng, r¬ le nhiÖt, logomet ®o nhiÖt, bé biÕn ®æi tÝn hiÖu kh«ng ®iÖn</v>
          </cell>
        </row>
        <row r="234">
          <cell r="C234" t="str">
            <v>sang tÝn hiÖu ®iÖn</v>
          </cell>
        </row>
        <row r="235">
          <cell r="B235" t="str">
            <v>06.3001</v>
          </cell>
          <cell r="C235" t="str">
            <v xml:space="preserve">TN - HC r¬ le ¸p lùc, ch©n kh«ng </v>
          </cell>
          <cell r="D235" t="str">
            <v xml:space="preserve">C¸i </v>
          </cell>
          <cell r="E235">
            <v>2780</v>
          </cell>
          <cell r="F235">
            <v>20332</v>
          </cell>
          <cell r="G235">
            <v>415</v>
          </cell>
        </row>
        <row r="236">
          <cell r="B236" t="str">
            <v>06.3002</v>
          </cell>
          <cell r="C236" t="str">
            <v>TN - HC r¬ le nhiÖt</v>
          </cell>
          <cell r="D236" t="str">
            <v xml:space="preserve">C¸i </v>
          </cell>
          <cell r="E236">
            <v>2496</v>
          </cell>
          <cell r="F236">
            <v>24399</v>
          </cell>
          <cell r="G236">
            <v>466</v>
          </cell>
        </row>
        <row r="237">
          <cell r="B237" t="str">
            <v>06.3003</v>
          </cell>
          <cell r="C237" t="str">
            <v xml:space="preserve">TN - HC l«go met ®o nhiÖt ®é </v>
          </cell>
          <cell r="D237" t="str">
            <v xml:space="preserve">C¸i </v>
          </cell>
          <cell r="E237">
            <v>2496</v>
          </cell>
          <cell r="F237">
            <v>40665</v>
          </cell>
          <cell r="G237">
            <v>466</v>
          </cell>
        </row>
        <row r="238">
          <cell r="B238" t="str">
            <v>06.3004</v>
          </cell>
          <cell r="C238" t="str">
            <v>TN - HC bé biÕn ®æi tÝn hiÖu</v>
          </cell>
          <cell r="D238" t="str">
            <v xml:space="preserve">C¸i </v>
          </cell>
          <cell r="E238">
            <v>2496</v>
          </cell>
          <cell r="F238">
            <v>40665</v>
          </cell>
          <cell r="G238">
            <v>1118</v>
          </cell>
        </row>
        <row r="239">
          <cell r="C239" t="str">
            <v>C«ng t¸c thÝ nghiÖm hiÖu chØnh hÖ thèng m¹ch nguån AC, DC, m¹ch tÝn hiÖu trung t©m, m¹ch ®iÖn ¸p vµ dßng ®iÖn</v>
          </cell>
        </row>
        <row r="240">
          <cell r="B240" t="str">
            <v>07.1001</v>
          </cell>
          <cell r="C240" t="str">
            <v>TN - HC hÖ thèng m¹ch nguån xoay chiÒu AC</v>
          </cell>
          <cell r="D240" t="str">
            <v>h.thèng</v>
          </cell>
          <cell r="E240">
            <v>13700</v>
          </cell>
          <cell r="F240">
            <v>288351</v>
          </cell>
          <cell r="G240">
            <v>22490</v>
          </cell>
        </row>
        <row r="241">
          <cell r="B241" t="str">
            <v>07.1002</v>
          </cell>
          <cell r="C241" t="str">
            <v>TN - HC hÖ thèng m¹ch nguån mét chiÒu DC</v>
          </cell>
          <cell r="D241" t="str">
            <v>h.thèng</v>
          </cell>
          <cell r="E241">
            <v>10960</v>
          </cell>
          <cell r="F241">
            <v>259516</v>
          </cell>
          <cell r="G241">
            <v>20241</v>
          </cell>
        </row>
        <row r="242">
          <cell r="B242" t="str">
            <v>07.1003</v>
          </cell>
          <cell r="C242" t="str">
            <v xml:space="preserve">TN - HC hÖ thèng m¹ch tÝn hiÖu trung t©m </v>
          </cell>
          <cell r="D242" t="str">
            <v>h.thèng</v>
          </cell>
          <cell r="E242">
            <v>10960</v>
          </cell>
          <cell r="F242">
            <v>346022</v>
          </cell>
          <cell r="G242">
            <v>26352</v>
          </cell>
        </row>
        <row r="243">
          <cell r="B243" t="str">
            <v>07.1004</v>
          </cell>
          <cell r="C243" t="str">
            <v>TN - HC hÖ thèng m¹ch ®iÖn ¸p vµ dßng ®iÖn</v>
          </cell>
          <cell r="D243" t="str">
            <v>h.thèng</v>
          </cell>
          <cell r="E243">
            <v>13700</v>
          </cell>
          <cell r="F243">
            <v>21809</v>
          </cell>
          <cell r="G243">
            <v>17992</v>
          </cell>
        </row>
        <row r="244">
          <cell r="C244" t="str">
            <v>C«ng t¸c thÝ nghiÖm hiÖu chØnh hÖ thèng m¹ch ®iÒu khiÓn m¸y ng¾t- dao c¸ch ly 3 pha</v>
          </cell>
        </row>
        <row r="245">
          <cell r="B245" t="str">
            <v>07.2001</v>
          </cell>
          <cell r="C245" t="str">
            <v>TN - HC hÖ thèng m¸y ng¾t ®iÖn ¸p 3-35KV</v>
          </cell>
          <cell r="D245" t="str">
            <v>bé</v>
          </cell>
          <cell r="E245">
            <v>5549</v>
          </cell>
          <cell r="F245">
            <v>170349</v>
          </cell>
          <cell r="G245">
            <v>27820</v>
          </cell>
        </row>
        <row r="246">
          <cell r="B246" t="str">
            <v>07.2002</v>
          </cell>
          <cell r="C246" t="str">
            <v>TN - HC hÖ thèng m¸y ng¾t ®iÖn ¸p 66-110KV</v>
          </cell>
          <cell r="D246" t="str">
            <v>bé</v>
          </cell>
          <cell r="E246">
            <v>6936</v>
          </cell>
          <cell r="F246">
            <v>212936</v>
          </cell>
          <cell r="G246">
            <v>34775</v>
          </cell>
        </row>
        <row r="247">
          <cell r="B247" t="str">
            <v>07.2003</v>
          </cell>
          <cell r="C247" t="str">
            <v>TN - HC hÖ thèng m¸y ng¾t ®iÖn ¸p 220-500KV</v>
          </cell>
          <cell r="D247" t="str">
            <v>bé</v>
          </cell>
          <cell r="E247">
            <v>8670</v>
          </cell>
          <cell r="F247">
            <v>266170</v>
          </cell>
          <cell r="G247">
            <v>43468</v>
          </cell>
        </row>
        <row r="248">
          <cell r="B248" t="str">
            <v>07.2004</v>
          </cell>
          <cell r="C248" t="str">
            <v>TN - HC hÖ thèng dao c¸ch ly cã ®iÒu khiÓn</v>
          </cell>
          <cell r="D248" t="str">
            <v>bé</v>
          </cell>
          <cell r="E248">
            <v>4439</v>
          </cell>
          <cell r="F248">
            <v>136279</v>
          </cell>
          <cell r="G248">
            <v>22256</v>
          </cell>
        </row>
        <row r="249">
          <cell r="C249" t="str">
            <v>C«ng t¸c thÝ nghiÖm hiÖu chØnh hÖ thèng m¹ch ®iÒu khiÓn: nÐn khÝ , cøu ho¶, lµm m¸t m¸y biÕn ¸p, sÊy chiÕu s¸ng tñ</v>
          </cell>
        </row>
        <row r="250">
          <cell r="B250" t="str">
            <v>07.3001</v>
          </cell>
          <cell r="C250" t="str">
            <v>TN - HC hÖ thèng m¹ch ®iÒu khiÓn nÐn khÝ</v>
          </cell>
          <cell r="D250" t="str">
            <v>bé</v>
          </cell>
          <cell r="E250">
            <v>1420</v>
          </cell>
          <cell r="F250">
            <v>34887</v>
          </cell>
          <cell r="G250">
            <v>5571</v>
          </cell>
        </row>
        <row r="251">
          <cell r="B251" t="str">
            <v>07.3002</v>
          </cell>
          <cell r="C251" t="str">
            <v>TN - HC hÖ thèng m¹ch ®iÒu khiÓn cøu ho¶</v>
          </cell>
          <cell r="D251" t="str">
            <v>bé</v>
          </cell>
          <cell r="E251">
            <v>1776</v>
          </cell>
          <cell r="F251">
            <v>43609</v>
          </cell>
          <cell r="G251">
            <v>6964</v>
          </cell>
        </row>
        <row r="252">
          <cell r="B252" t="str">
            <v>07.3003</v>
          </cell>
          <cell r="C252" t="str">
            <v>TN - HC hÖ thèng m¹ch ®iÒu khiÓn lµm m¸t m¸y biÕn ¸p</v>
          </cell>
          <cell r="D252" t="str">
            <v>bé</v>
          </cell>
          <cell r="E252">
            <v>2220</v>
          </cell>
          <cell r="F252">
            <v>54512</v>
          </cell>
          <cell r="G252">
            <v>8705</v>
          </cell>
        </row>
        <row r="253">
          <cell r="B253" t="str">
            <v>07.3004</v>
          </cell>
          <cell r="C253" t="str">
            <v>TN - HC hÖ thèng m¹ch ®iÒu khiÓn sÊy, chiÕu s¸ng tñ</v>
          </cell>
          <cell r="D253" t="str">
            <v>bé</v>
          </cell>
          <cell r="E253">
            <v>1136</v>
          </cell>
          <cell r="F253">
            <v>27910</v>
          </cell>
          <cell r="G253">
            <v>885</v>
          </cell>
        </row>
        <row r="254">
          <cell r="B254" t="str">
            <v>07.4000</v>
          </cell>
          <cell r="C254" t="str">
            <v>C«ng t¸c thÝ nghiÖm hiÖu chØnh hÖ thèng m¹ch b¶o vÖ:(thêi gian, trung gian, c¾t trùc tiÕp,m¹ch ®Çu ra, cho 1 cÊp b¶o vÖ)</v>
          </cell>
        </row>
        <row r="255">
          <cell r="C255" t="str">
            <v>®o l­êng, ghi chôp, tÝn hiÖu</v>
          </cell>
        </row>
        <row r="256">
          <cell r="B256" t="str">
            <v>07.4001</v>
          </cell>
          <cell r="C256" t="str">
            <v>TN - HC hÖ thèng m¹ch ®o l­êng</v>
          </cell>
          <cell r="D256" t="str">
            <v>h.thèng</v>
          </cell>
          <cell r="E256">
            <v>4576</v>
          </cell>
          <cell r="F256">
            <v>177447</v>
          </cell>
          <cell r="G256">
            <v>25902</v>
          </cell>
        </row>
        <row r="257">
          <cell r="B257" t="str">
            <v>07.4002</v>
          </cell>
          <cell r="C257" t="str">
            <v>TN - HC hÖ thèng m¹ch ghi chôp</v>
          </cell>
          <cell r="D257" t="str">
            <v>h.thèng</v>
          </cell>
          <cell r="E257">
            <v>8580</v>
          </cell>
          <cell r="F257">
            <v>332713</v>
          </cell>
          <cell r="G257">
            <v>40472</v>
          </cell>
        </row>
        <row r="258">
          <cell r="B258" t="str">
            <v>07.4003</v>
          </cell>
          <cell r="C258" t="str">
            <v>TN - HC hÖ thèng m¹ch b¶o vÖ</v>
          </cell>
          <cell r="D258" t="str">
            <v>h.thèng</v>
          </cell>
          <cell r="E258">
            <v>5720</v>
          </cell>
          <cell r="F258">
            <v>221809</v>
          </cell>
          <cell r="G258">
            <v>32378</v>
          </cell>
        </row>
        <row r="259">
          <cell r="B259" t="str">
            <v>07.4004</v>
          </cell>
          <cell r="C259" t="str">
            <v xml:space="preserve">TN - HC hÖ thèng m¹ch tÝn hiÖu </v>
          </cell>
          <cell r="D259" t="str">
            <v>h.thèng</v>
          </cell>
          <cell r="E259">
            <v>1373</v>
          </cell>
          <cell r="F259">
            <v>35489</v>
          </cell>
          <cell r="G259">
            <v>7771</v>
          </cell>
        </row>
        <row r="260">
          <cell r="C260" t="str">
            <v xml:space="preserve">C«ng t¸c thÝ nghiÖm hiÖu chØnh hÖ thèng m¹ch tù ®éng: ®iÒu chØnh ®iÖn ¸p d­íi t¶i, ®ãng lËp l¹i m¸y ng¾t </v>
          </cell>
        </row>
        <row r="261">
          <cell r="B261" t="str">
            <v>07.5001</v>
          </cell>
          <cell r="C261" t="str">
            <v>TN - HC hÖ thèng m¹ch ®iÒu chØnh ®iÖn ¸p d­íi t¶i</v>
          </cell>
          <cell r="D261" t="str">
            <v>h.thèng</v>
          </cell>
          <cell r="E261">
            <v>5878</v>
          </cell>
          <cell r="F261">
            <v>260256</v>
          </cell>
          <cell r="G261">
            <v>43468</v>
          </cell>
        </row>
        <row r="262">
          <cell r="B262" t="str">
            <v>07.5002</v>
          </cell>
          <cell r="C262" t="str">
            <v>TN - HC hÖ thèng m¹ch ®ãng lÆp l¹i m¸y ng¾t</v>
          </cell>
          <cell r="D262" t="str">
            <v>bé</v>
          </cell>
          <cell r="E262">
            <v>2939</v>
          </cell>
          <cell r="F262">
            <v>130128</v>
          </cell>
          <cell r="G262">
            <v>21734</v>
          </cell>
        </row>
        <row r="263">
          <cell r="C263" t="str">
            <v>C«ng t¸c thÝ nghiÖm hiÖu chØnh tÝnh ch¸t ho¸ häc mÉu dÇu c¸ch ®iÖn</v>
          </cell>
        </row>
        <row r="264">
          <cell r="B264" t="str">
            <v>08.1001</v>
          </cell>
          <cell r="C264" t="str">
            <v>TN - HC tÝnh chÊt ho¸ häc mÉu dÇu c¸ch ®iÖn</v>
          </cell>
          <cell r="D264" t="str">
            <v>mÉu</v>
          </cell>
          <cell r="E264">
            <v>81128</v>
          </cell>
          <cell r="F264">
            <v>184841</v>
          </cell>
          <cell r="G264">
            <v>26735</v>
          </cell>
        </row>
        <row r="265">
          <cell r="C265" t="str">
            <v>C«ng t¸c thÝ nghiÖm hiÖu chØnh ®iÖn ¸p xuyªn thñng, Tgd cña dÇu c¸ch ®iÖn</v>
          </cell>
        </row>
        <row r="266">
          <cell r="B266" t="str">
            <v>08.2001</v>
          </cell>
          <cell r="C266" t="str">
            <v>TN - HC ®iÖn ¸p xuyªn thñng</v>
          </cell>
          <cell r="D266" t="str">
            <v>mÉu</v>
          </cell>
          <cell r="E266">
            <v>6977</v>
          </cell>
          <cell r="F266">
            <v>24399</v>
          </cell>
          <cell r="G266">
            <v>8202</v>
          </cell>
        </row>
        <row r="267">
          <cell r="B267" t="str">
            <v>08.2002</v>
          </cell>
          <cell r="C267" t="str">
            <v>TN - HC Tgd cña dÇu c¸ch ®iÖn</v>
          </cell>
          <cell r="D267" t="str">
            <v>mÉu</v>
          </cell>
          <cell r="E267">
            <v>7659</v>
          </cell>
          <cell r="F267">
            <v>44362</v>
          </cell>
          <cell r="G267">
            <v>10974</v>
          </cell>
        </row>
        <row r="268">
          <cell r="C268" t="str">
            <v>C«ng t¸c thÝ nghiÖm hiÖu chØnh ®é æn ®Þnh ¤xy ho¸ dÇu c¸ch ®iÖn</v>
          </cell>
        </row>
        <row r="269">
          <cell r="B269" t="str">
            <v>08.3000</v>
          </cell>
          <cell r="C269" t="str">
            <v>TN - HC ®é æn ®Þnh ¤xy ho¸ dÇu c¸ch ®iÖn</v>
          </cell>
          <cell r="D269" t="str">
            <v>mÉu</v>
          </cell>
          <cell r="E269">
            <v>97925</v>
          </cell>
          <cell r="F269">
            <v>382620</v>
          </cell>
          <cell r="G269">
            <v>162517</v>
          </cell>
        </row>
        <row r="270">
          <cell r="C270" t="str">
            <v>C«ng t¸c thÝ nghiÖm hiÖu chØnh hµm vi l­îng Èm cña dÇu c¸ch ®iÖn</v>
          </cell>
        </row>
        <row r="271">
          <cell r="B271" t="str">
            <v>08.4000</v>
          </cell>
          <cell r="C271" t="str">
            <v>TN - HC hµm vi l­îng Èm cña dÇu c¸ch ®iÖn</v>
          </cell>
          <cell r="D271" t="str">
            <v>mÉu</v>
          </cell>
          <cell r="E271">
            <v>58046</v>
          </cell>
          <cell r="F271">
            <v>171902</v>
          </cell>
          <cell r="G271">
            <v>51096</v>
          </cell>
        </row>
        <row r="272">
          <cell r="C272" t="str">
            <v>C«ng t¸c thÝ nghiÖm hiÖu chØnh hµm l­îng khÝ  hoµ tan trong dÇu c¸ch ®iÖn</v>
          </cell>
        </row>
        <row r="273">
          <cell r="B273" t="str">
            <v>08.5000</v>
          </cell>
          <cell r="C273" t="str">
            <v>TN - HC hµm l­îng khÝ hoµ tan trong dÇu c¸ch ®iÖn</v>
          </cell>
          <cell r="D273" t="str">
            <v>mÉu</v>
          </cell>
          <cell r="E273">
            <v>153981</v>
          </cell>
          <cell r="F273">
            <v>221809</v>
          </cell>
          <cell r="G273">
            <v>324286</v>
          </cell>
        </row>
        <row r="274">
          <cell r="C274" t="str">
            <v>C«ng t¸c thÝ nghiÖm hiÖu chØnh hµm l­îng khÝ  hoµ tan trong dÇu c¸ch ®iÖn</v>
          </cell>
        </row>
        <row r="275">
          <cell r="B275" t="str">
            <v>08.6000</v>
          </cell>
          <cell r="C275" t="str">
            <v xml:space="preserve">TN - HC ph©n tÝch ®é Èm trong khÝ SF6 </v>
          </cell>
          <cell r="D275" t="str">
            <v>mÉu</v>
          </cell>
          <cell r="E275">
            <v>50916</v>
          </cell>
          <cell r="F275">
            <v>184841</v>
          </cell>
          <cell r="G275">
            <v>200451</v>
          </cell>
        </row>
        <row r="276">
          <cell r="C276" t="str">
            <v>C«ng t¸c thÝ nghiÖm hiÖu chØnh mÉu axit ¾c qui</v>
          </cell>
        </row>
        <row r="277">
          <cell r="B277" t="str">
            <v>08.7000</v>
          </cell>
          <cell r="C277" t="str">
            <v>TN - HC mÉu axit ¾c qui</v>
          </cell>
          <cell r="D277" t="str">
            <v>mÉu</v>
          </cell>
          <cell r="E277">
            <v>280775</v>
          </cell>
          <cell r="F277">
            <v>73936</v>
          </cell>
          <cell r="G277">
            <v>253993</v>
          </cell>
        </row>
        <row r="278">
          <cell r="C278" t="str">
            <v xml:space="preserve">C«ng t¸c thÝ nghiÖm hiÖu chØnh mÉu n­íc cÊt , dung dÞch ®iÖn gi¶i </v>
          </cell>
        </row>
        <row r="279">
          <cell r="B279" t="str">
            <v>08.8000</v>
          </cell>
          <cell r="C279" t="str">
            <v xml:space="preserve">TN - HC mÉu n­íc cÊt, dung dÞch ®iÖn gi¶i </v>
          </cell>
          <cell r="D279" t="str">
            <v>mÉu</v>
          </cell>
          <cell r="E279">
            <v>92526</v>
          </cell>
          <cell r="F279">
            <v>73936</v>
          </cell>
          <cell r="G279">
            <v>112817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6A-085 Modify (2)"/>
      <sheetName val="M6A-009"/>
      <sheetName val="M6A-010"/>
      <sheetName val="M6A-011 BONNET RATCH "/>
      <sheetName val="M6A-012"/>
      <sheetName val="M6A-015Trunk Lid striker"/>
      <sheetName val="M6A-016Trunk Lid Table"/>
      <sheetName val="S R LOCATING JIG(M6A-026)"/>
      <sheetName val="M6A-027 S R LOCATING JIG"/>
      <sheetName val="M6A-053 Control cable pull"/>
      <sheetName val="M6A-065"/>
      <sheetName val="M6A-068 i-STOP Pump Protector"/>
      <sheetName val="M6A-085 FEM subassembly stand"/>
      <sheetName val="M6A-095"/>
      <sheetName val="M6A-097"/>
      <sheetName val="M6A-100 Stop rubber"/>
      <sheetName val="M6A-140"/>
      <sheetName val="M6A-145 Rear Suspension Pitch "/>
      <sheetName val="M6A-157"/>
      <sheetName val="M6A-201"/>
      <sheetName val="M6A-207 Driver shaft support 1"/>
      <sheetName val="M6A-208 Steering dust"/>
      <sheetName val="M6A-220"/>
      <sheetName val="M6A-221 Trunk lid"/>
      <sheetName val="M6A-223"/>
      <sheetName val="M6A-234"/>
      <sheetName val="M6A-237"/>
      <sheetName val="M6A-240 Temp Sensor locating ji"/>
      <sheetName val="Thiet bi mang"/>
      <sheetName val="M6A-Danh sach vat tu dat mua"/>
      <sheetName val="M6A-231"/>
      <sheetName val="Bo sung M6A-237"/>
      <sheetName val="M6A-105"/>
      <sheetName val="M6A-177"/>
      <sheetName val="M6A-125"/>
      <sheetName val="M6A-170"/>
      <sheetName val="M6A-147(Modify)"/>
      <sheetName val="M6A-132"/>
      <sheetName val="M6A-086"/>
      <sheetName val="Ngoc B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KS_TK"/>
      <sheetName val="boc len-xuong"/>
      <sheetName val="chi phi TV"/>
      <sheetName val="KLDD"/>
      <sheetName val="BGia"/>
      <sheetName val="CTKC"/>
      <sheetName val="MS"/>
      <sheetName val="LDat"/>
      <sheetName val="BANG TH"/>
      <sheetName val="KL"/>
      <sheetName val="kho"/>
      <sheetName val="BD &amp; VC"/>
      <sheetName val="VCTB"/>
      <sheetName val="TN"/>
      <sheetName val="cuoc 89"/>
      <sheetName val="THTN"/>
      <sheetName val="VCVL"/>
      <sheetName val="THTP"/>
      <sheetName val="tong hop VAT"/>
      <sheetName val="00000000"/>
      <sheetName val="XL4Test5"/>
      <sheetName val="Phan tich DG"/>
      <sheetName val="TH vat tu"/>
      <sheetName val="Phan tich"/>
      <sheetName val="TinhGiaMTC"/>
      <sheetName val="TH MTC"/>
      <sheetName val="TH N.Cong"/>
      <sheetName val="TinhGiaNC"/>
      <sheetName val="DM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VT"/>
      <sheetName val="CTKL"/>
      <sheetName val="DTOAN"/>
      <sheetName val="PTVT"/>
      <sheetName val="T-HOP"/>
      <sheetName val="GIA"/>
      <sheetName val="GIA2"/>
      <sheetName val="XL4Poppy"/>
      <sheetName val="Mẫu DMVT"/>
      <sheetName val="Mẫu DMVT (2)"/>
      <sheetName val="Sheet1"/>
      <sheetName val="Mail LSX"/>
      <sheetName val="CPKS_TK"/>
      <sheetName val="TH Vat tu"/>
      <sheetName val="DMCP"/>
      <sheetName val="BocXep"/>
      <sheetName val="VCBo"/>
      <sheetName val="VCThuy"/>
      <sheetName val="TH Kinh phi"/>
      <sheetName val="TinhGiaMTC"/>
      <sheetName val="Bang K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1ဲ.ALT"/>
      <sheetName val="1ဳ.O.S"/>
      <sheetName val="15.၄AMPER"/>
      <sheetName val="626TD"/>
      <sheetName val="주행"/>
      <sheetName val="FMEAPRO5"/>
      <sheetName val="협조전"/>
      <sheetName val="二.POSITION.XLS"/>
      <sheetName val="96"/>
      <sheetName val="GB-IC Villingen GG"/>
      <sheetName val="BACK DATA 08.7.1~"/>
      <sheetName val="E.W"/>
      <sheetName val="P.W"/>
      <sheetName val="가공비data"/>
      <sheetName val="S.W"/>
      <sheetName val="BACK DATA"/>
      <sheetName val="KMCWD"/>
      <sheetName val="OPT손익 내수"/>
      <sheetName val="OPT손익 수출"/>
      <sheetName val="10월작업불량"/>
      <sheetName val="반송불량율"/>
      <sheetName val="일자별"/>
      <sheetName val="●일일실적"/>
      <sheetName val="손익"/>
      <sheetName val="Sheet4"/>
      <sheetName val="#REF"/>
      <sheetName val="BM_NEW2"/>
      <sheetName val=""/>
      <sheetName val="불량현황"/>
      <sheetName val="재료(확정,11월19일)"/>
      <sheetName val="MH_생산"/>
      <sheetName val="PRDW30"/>
      <sheetName val="VT원단위"/>
      <sheetName val="정리"/>
      <sheetName val="기초자료"/>
      <sheetName val="customer"/>
      <sheetName val="자산LIST"/>
      <sheetName val="점유면적"/>
      <sheetName val="기초"/>
      <sheetName val="KD율"/>
      <sheetName val="GRACE"/>
      <sheetName val="시설업체주소록"/>
      <sheetName val="64164"/>
      <sheetName val="외주현황.wq1"/>
      <sheetName val="PP%계산"/>
      <sheetName val="2.대외공문"/>
      <sheetName val="현금경비중역"/>
      <sheetName val="HOUSING"/>
      <sheetName val="TEMP TORQUE"/>
      <sheetName val="1"/>
      <sheetName val="진행 DATA (2)"/>
      <sheetName val="MBNBSMTR"/>
      <sheetName val="5.세운W-A"/>
      <sheetName val="항목(1)"/>
      <sheetName val="출력값"/>
      <sheetName val="engline"/>
      <sheetName val="동아합의"/>
      <sheetName val="WEIGHT"/>
      <sheetName val="95계획"/>
      <sheetName val="카메라"/>
      <sheetName val="Sheet1"/>
      <sheetName val="126.255"/>
      <sheetName val="B053 (990701)공정실적PP%계산"/>
      <sheetName val="RHN"/>
      <sheetName val="TOTAL"/>
      <sheetName val="기초DATA"/>
      <sheetName val="RESN_SUM"/>
      <sheetName val="Actions"/>
      <sheetName val="상용"/>
      <sheetName val="건축공사"/>
      <sheetName val="14.1부"/>
      <sheetName val="BL제조표준"/>
      <sheetName val="CASE ASM"/>
      <sheetName val="공정능력외경"/>
      <sheetName val="Tbom-tot"/>
      <sheetName val="수리결과"/>
      <sheetName val="Sheet2"/>
      <sheetName val="SUB 2월 재검사추이도"/>
      <sheetName val="A-100전제"/>
      <sheetName val="Pc1%계산"/>
      <sheetName val="CIELO발주"/>
      <sheetName val="세부"/>
      <sheetName val="법인+비법인"/>
      <sheetName val="LANOS"/>
      <sheetName val="LEGANZA"/>
      <sheetName val="NUBIRA"/>
      <sheetName val="팀별 합계"/>
      <sheetName val="JT3.0견적-구1"/>
      <sheetName val="생산1-1"/>
      <sheetName val="SPEC별"/>
      <sheetName val="일본출1"/>
      <sheetName val="삼공기계"/>
      <sheetName val="화환비상"/>
      <sheetName val="1.변경범위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12"/>
      <sheetName val="개발 TOOL 집계표"/>
      <sheetName val="경상 개발비"/>
      <sheetName val="96갑지"/>
      <sheetName val="code"/>
      <sheetName val="C100보고서"/>
      <sheetName val="설비능력및 종합공정능력산출시 사용"/>
      <sheetName val="Data1"/>
      <sheetName val="0000"/>
      <sheetName val="차수"/>
      <sheetName val="직원신상"/>
      <sheetName val="12-30"/>
      <sheetName val="CD-실적"/>
      <sheetName val="LX3.0 RR"/>
      <sheetName val="BACK_DATA_08_7_1~"/>
      <sheetName val="E_W"/>
      <sheetName val="P_W"/>
      <sheetName val="S_W"/>
      <sheetName val="GB-IC_Villingen_GG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외주현황_wq1"/>
      <sheetName val="Claim이력_내수내자"/>
      <sheetName val="T진도"/>
      <sheetName val="5.WIRE적용LIST"/>
      <sheetName val="매출종합.`09"/>
      <sheetName val="부문손익"/>
      <sheetName val="수입"/>
      <sheetName val="계산정보"/>
      <sheetName val="AN43"/>
      <sheetName val="구동"/>
      <sheetName val="생계99ST"/>
      <sheetName val="HCCE01"/>
      <sheetName val="c.db"/>
      <sheetName val="(BS,CF)-BACK"/>
      <sheetName val="N46"/>
      <sheetName val="TCA"/>
      <sheetName val="3.일반사상"/>
      <sheetName val="16~31"/>
      <sheetName val="MACRO1.XLM"/>
      <sheetName val="생산"/>
      <sheetName val="진도현황"/>
      <sheetName val="CLM-MP"/>
      <sheetName val="_x0000_PRDW30.XL"/>
      <sheetName val="2_대외공문"/>
      <sheetName val="5_세운W-A"/>
      <sheetName val="PRESS DATA"/>
      <sheetName val="Lookups"/>
      <sheetName val="실행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1ဲ_ALT1"/>
      <sheetName val="1ဳ_O_S1"/>
      <sheetName val="15_၄AMPER1"/>
      <sheetName val="二_POSITION_XLS1"/>
      <sheetName val="GB-IC_Villingen_GG1"/>
      <sheetName val="BACK_DATA_08_7_1~1"/>
      <sheetName val="E_W1"/>
      <sheetName val="P_W1"/>
      <sheetName val="S_W1"/>
      <sheetName val="BACK_DATA1"/>
      <sheetName val="OPT손익_내수1"/>
      <sheetName val="OPT손익_수출1"/>
      <sheetName val="외주현황_wq11"/>
      <sheetName val="2_대외공문1"/>
      <sheetName val="TEMP_TORQUE"/>
      <sheetName val="진행_DATA_(2)"/>
      <sheetName val="5_세운W-A1"/>
      <sheetName val="126_255"/>
      <sheetName val="B053_(990701)공정실적PP%계산"/>
      <sheetName val="14_1부"/>
      <sheetName val="CASE_ASM"/>
      <sheetName val="SUB_2월_재검사추이도"/>
      <sheetName val="팀별_합계"/>
      <sheetName val="JT3_0견적-구1"/>
      <sheetName val="1_변경범위"/>
      <sheetName val="개발_TOOL_집계표"/>
      <sheetName val="경상_개발비"/>
      <sheetName val="설비능력및_종합공정능력산출시_사용"/>
      <sheetName val="LX3_0_RR"/>
      <sheetName val="5_WIRE적용LIST"/>
      <sheetName val="매출종합_`09"/>
      <sheetName val="c_db"/>
      <sheetName val="3_일반사상"/>
      <sheetName val="MACRO1_XLM"/>
      <sheetName val="PRDW30_XL"/>
      <sheetName val="PRESS_DATA"/>
      <sheetName val="LAMBDA 자작"/>
      <sheetName val="목록"/>
      <sheetName val="Nego PV"/>
      <sheetName val="검기갑지"/>
      <sheetName val="5월"/>
      <sheetName val="양식"/>
      <sheetName val="CSTHA616"/>
      <sheetName val="KMO"/>
      <sheetName val="품의서"/>
      <sheetName val="생산일보(전체)"/>
      <sheetName val="PC%계산"/>
      <sheetName val="RP변환코드"/>
      <sheetName val="운임.환차손-Y"/>
      <sheetName val="DATA"/>
      <sheetName val="report_20"/>
      <sheetName val="camera_30"/>
      <sheetName val="소상 &quot;1&quot;"/>
      <sheetName val="금형품"/>
      <sheetName val="매출계획"/>
      <sheetName val="F4-F7"/>
      <sheetName val="현재"/>
      <sheetName val="Tiburon"/>
      <sheetName val="선반OPT"/>
      <sheetName val="RD제품개발투자비(매가)"/>
      <sheetName val="CPK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Book1"/>
      <sheetName val="기안"/>
      <sheetName val="지부전체"/>
      <sheetName val="COST관리"/>
      <sheetName val="M1master"/>
      <sheetName val="재료율"/>
      <sheetName val="조립지적"/>
      <sheetName val="내경"/>
      <sheetName val="경비공통"/>
      <sheetName val="월별손익"/>
      <sheetName val="Macro2"/>
      <sheetName val="뒤차축소"/>
      <sheetName val="등속"/>
      <sheetName val="변속"/>
      <sheetName val="액슬"/>
      <sheetName val="프레임"/>
      <sheetName val="050218"/>
      <sheetName val="시산표"/>
      <sheetName val="예산계획"/>
      <sheetName val="가격표"/>
      <sheetName val="9-1차이내역"/>
      <sheetName val="구매실(원본)"/>
      <sheetName val="집연95"/>
      <sheetName val="환율"/>
      <sheetName val="미국"/>
      <sheetName val="본문"/>
      <sheetName val="X-3 ENG"/>
      <sheetName val="Specification"/>
      <sheetName val="내수1.8GL"/>
      <sheetName val="Takt"/>
      <sheetName val="상용_mp"/>
      <sheetName val="운임_환차손-Y"/>
      <sheetName val="존4"/>
      <sheetName val="A-A"/>
      <sheetName val="DWPM"/>
      <sheetName val="R&amp;D"/>
      <sheetName val="Macro1"/>
      <sheetName val="전력시간대(합계)"/>
      <sheetName val="BUS제원1"/>
      <sheetName val="본부별팀별9911"/>
      <sheetName val="부품LIST"/>
      <sheetName val="LEASE4"/>
      <sheetName val="DAT(목표)"/>
      <sheetName val="FUEL FILLER"/>
      <sheetName val="차체부품 INS REPORT(갑)"/>
      <sheetName val="예산코드"/>
      <sheetName val="ML"/>
      <sheetName val="정산내역"/>
      <sheetName val="유효성"/>
      <sheetName val="4월채무증감"/>
      <sheetName val="재질단가"/>
      <sheetName val="교육계획"/>
      <sheetName val="악성"/>
      <sheetName val="ALPROFILE 발주실적"/>
      <sheetName val="요약"/>
      <sheetName val="CSP원자재"/>
      <sheetName val="국내품"/>
      <sheetName val="수입부품비"/>
      <sheetName val="조정명세서"/>
      <sheetName val="Evaluation objects"/>
      <sheetName val="Sheet3"/>
      <sheetName val="1-C,D"/>
      <sheetName val="신규DEP"/>
      <sheetName val="DATAinput"/>
      <sheetName val="총list"/>
      <sheetName val="FACTOR"/>
      <sheetName val="예산실적전체당월"/>
      <sheetName val="투자-국내2"/>
      <sheetName val="712"/>
      <sheetName val="MOTO"/>
      <sheetName val="정미시간"/>
      <sheetName val="ppcarpet"/>
      <sheetName val="불량현상별END"/>
      <sheetName val="가공비(2)"/>
      <sheetName val="S13_관리계획서(체크시트)"/>
      <sheetName val="6월수불"/>
      <sheetName val="list"/>
      <sheetName val="소요량분석(부자재)"/>
      <sheetName val="소요량분석(외주)"/>
      <sheetName val="발주"/>
      <sheetName val="07주차별실적"/>
      <sheetName val="MAIN"/>
      <sheetName val="ENG"/>
      <sheetName val="CONT"/>
      <sheetName val="금형비"/>
      <sheetName val="COND"/>
      <sheetName val="월생산"/>
      <sheetName val="TUBE시험성적서"/>
      <sheetName val="근태현황"/>
      <sheetName val="그패프"/>
      <sheetName val="GK차체EO-CUT전"/>
      <sheetName val="전장"/>
      <sheetName val="공평7"/>
      <sheetName val="검토사항"/>
      <sheetName val="Grafikdaten"/>
      <sheetName val="득점현황"/>
      <sheetName val="대외공문"/>
      <sheetName val="주소(한문)"/>
      <sheetName val="2"/>
      <sheetName val="99판매상세"/>
      <sheetName val="대차대조표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소상_&quot;1&quot;"/>
      <sheetName val="Nego_PV"/>
      <sheetName val="LAMBDA_자작"/>
      <sheetName val="Sheet1 (2)"/>
      <sheetName val="다목적갑"/>
      <sheetName val="DATE"/>
      <sheetName val="차종별"/>
      <sheetName val="Sheet5"/>
      <sheetName val="Sheet6 (3)"/>
      <sheetName val="판매종합"/>
      <sheetName val="major"/>
      <sheetName val="INPUT"/>
      <sheetName val="SM-NEW"/>
      <sheetName val="전부인쇄"/>
      <sheetName val="day"/>
      <sheetName val="초도발주서"/>
      <sheetName val="명단"/>
      <sheetName val="CALENDAR"/>
      <sheetName val="순위"/>
      <sheetName val="단중표"/>
      <sheetName val=" 납촉자"/>
      <sheetName val="업체명"/>
      <sheetName val="원본"/>
      <sheetName val="82150-39000"/>
      <sheetName val="Open"/>
      <sheetName val="확정실적"/>
      <sheetName val="환율기준"/>
      <sheetName val="3-2.귀책부서별 DT현황"/>
      <sheetName val="RC"/>
      <sheetName val="통합data"/>
      <sheetName val="작성양식"/>
      <sheetName val="검구사양서"/>
      <sheetName val="종합"/>
      <sheetName val="계산DATA입력"/>
      <sheetName val="영업"/>
      <sheetName val="RHD"/>
      <sheetName val="참조영역"/>
      <sheetName val="차체부품_INS_REPORT(갑)"/>
      <sheetName val="FUEL_FILLER"/>
      <sheetName val="설비"/>
      <sheetName val="97"/>
      <sheetName val="EQ"/>
      <sheetName val="업종별"/>
      <sheetName val="유효"/>
      <sheetName val="1.2내수"/>
      <sheetName val="콤보"/>
      <sheetName val="운영실적(세부)"/>
      <sheetName val="품의예산"/>
      <sheetName val="대일산업"/>
      <sheetName val="_납촉자"/>
      <sheetName val="HP1AMLIST"/>
      <sheetName val="제품목록"/>
      <sheetName val="3-2_귀책부서별_DT현황"/>
      <sheetName val="result0927"/>
      <sheetName val="대우자동차용역비"/>
      <sheetName val="추이도"/>
      <sheetName val="PPK"/>
      <sheetName val="불출요청"/>
      <sheetName val="금액"/>
      <sheetName val="p2_1"/>
      <sheetName val=" SR3차원단위 (3)"/>
      <sheetName val="Rate data"/>
      <sheetName val="GK_XDBASE"/>
      <sheetName val="매각단가"/>
      <sheetName val="폼관조직"/>
      <sheetName val="내용"/>
      <sheetName val="보고"/>
      <sheetName val="분석mast"/>
      <sheetName val="업무분장"/>
      <sheetName val="2공구산출내역"/>
      <sheetName val="계산 DATA 입력"/>
      <sheetName val="상세 계산 내역"/>
      <sheetName val="SANTAMO"/>
      <sheetName val="종합(LH)"/>
      <sheetName val="단가"/>
      <sheetName val="cv"/>
      <sheetName val="K55"/>
      <sheetName val="ORIGIN"/>
      <sheetName val="Sch7a (토요일)"/>
      <sheetName val="RDLEVLST"/>
      <sheetName val="98종합"/>
      <sheetName val="PTR台손익"/>
      <sheetName val="resume"/>
      <sheetName val="BRAKE"/>
      <sheetName val="GLOBAL PT NEW FORMAT OCT 2002"/>
      <sheetName val="RR저항Cp"/>
      <sheetName val="Dashboard"/>
      <sheetName val="MCT6"/>
      <sheetName val="재고자산명세(Y)"/>
      <sheetName val="ASSIGN"/>
      <sheetName val="제안그래프"/>
      <sheetName val="공정및생산관리절차서"/>
      <sheetName val="B"/>
      <sheetName val="대외공문 "/>
      <sheetName val="수주단가"/>
      <sheetName val="일괄인쇄"/>
      <sheetName val="Technology"/>
      <sheetName val="PP%계산-1"/>
      <sheetName val="금형991202"/>
      <sheetName val="건설성적"/>
      <sheetName val="이자율"/>
      <sheetName val="제품원재"/>
      <sheetName val="부재예실1월"/>
      <sheetName val="금강투자2000"/>
      <sheetName val="71336(R)"/>
      <sheetName val="일위대가(계측기설치)"/>
      <sheetName val="표지"/>
      <sheetName val="●현황"/>
      <sheetName val="●목차"/>
      <sheetName val="원가계산서"/>
      <sheetName val="PRO (참조)"/>
      <sheetName val="외주품 감점 유형 기준"/>
      <sheetName val="CVT산정"/>
      <sheetName val="DOOR"/>
      <sheetName val="전체현황"/>
      <sheetName val="프로젝트"/>
      <sheetName val="5-1차수정"/>
      <sheetName val="재1"/>
      <sheetName val="95하U$가격"/>
      <sheetName val="차체"/>
      <sheetName val="공정별설비검토"/>
      <sheetName val="BAU"/>
      <sheetName val="1_2내수"/>
      <sheetName val="2_2공정능력"/>
      <sheetName val="2000 (원본)"/>
      <sheetName val="효율계획(당월)"/>
      <sheetName val="J150 승인진도관리 LIST"/>
      <sheetName val="TOTAL LIST"/>
      <sheetName val="EXP-COST"/>
      <sheetName val="지정공장"/>
      <sheetName val="서울정비"/>
      <sheetName val="전체실적"/>
      <sheetName val="Price Range"/>
      <sheetName val="FTR MACRo"/>
      <sheetName val="원소재인상자료"/>
      <sheetName val="56"/>
      <sheetName val="Danh Mục"/>
      <sheetName val="Danh Muc"/>
      <sheetName val="1_2내수1"/>
      <sheetName val="진행_DATA_(2)1"/>
      <sheetName val="Danh_Mục"/>
      <sheetName val="Danh_Muc"/>
      <sheetName val="파일테이블"/>
      <sheetName val="종합(PD,FD,RS)"/>
      <sheetName val="96수출"/>
      <sheetName val="감사ⓚA"/>
      <sheetName val="Cost Reduction"/>
      <sheetName val="Auswahl"/>
      <sheetName val=" PPAP 작성중 .xlsx"/>
      <sheetName val="1-Tables"/>
      <sheetName val="카니발슈마세피아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신고서.전"/>
      <sheetName val="일일 업무 현황 (3)"/>
      <sheetName val="일일 업무 현황 (5)"/>
      <sheetName val="동명재고"/>
      <sheetName val="문서처리전"/>
      <sheetName val="간이연락"/>
      <sheetName val="_x0000__x0000__x0000__x0000_ilencer"/>
      <sheetName val="가공비"/>
      <sheetName val="기준입력"/>
      <sheetName val="생산품목"/>
      <sheetName val="실적"/>
      <sheetName val="시험연구비상각"/>
      <sheetName val="XREF"/>
      <sheetName val="0 절삭조건"/>
      <sheetName val="1월"/>
      <sheetName val="SAM"/>
      <sheetName val="발생집계"/>
      <sheetName val="3"/>
      <sheetName val="4"/>
      <sheetName val="5"/>
      <sheetName val="6"/>
      <sheetName val="7"/>
      <sheetName val="8"/>
      <sheetName val="9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포머 비가동 내역"/>
      <sheetName val="5311"/>
      <sheetName val="점검시트"/>
      <sheetName val="2-1"/>
      <sheetName val="내역서"/>
      <sheetName val="오정용선임"/>
      <sheetName val="건재양식"/>
      <sheetName val="DATA BASE"/>
      <sheetName val="업체등록"/>
      <sheetName val="자재입고"/>
      <sheetName val="자재출고"/>
      <sheetName val="제품등록"/>
      <sheetName val="총소요량"/>
      <sheetName val="현재고"/>
      <sheetName val="상품재고(97)"/>
      <sheetName val="내구품질향상1"/>
      <sheetName val="(평균)"/>
      <sheetName val="냉연"/>
      <sheetName val="W-현원가"/>
      <sheetName val="hp_td_calc"/>
      <sheetName val="6B008"/>
      <sheetName val="MPL 技連"/>
      <sheetName val="342E BLOCK"/>
      <sheetName val="DFMEA"/>
      <sheetName val="02 07 27 부품판매가"/>
      <sheetName val="총"/>
      <sheetName val="윤영환"/>
      <sheetName val="차체부품_INS_REPORT(갑)1"/>
      <sheetName val="FUEL_FILLER1"/>
      <sheetName val="5_WIRE적용LIST1"/>
      <sheetName val="3_일반사상1"/>
      <sheetName val="_납촉자1"/>
      <sheetName val="일일_업무_현황_(3)"/>
      <sheetName val="일일_업무_현황_(5)"/>
      <sheetName val="417CPK"/>
      <sheetName val="SS"/>
      <sheetName val="FRONT HUB견적가"/>
      <sheetName val="VS1 Paretto분석"/>
      <sheetName val="intro"/>
      <sheetName val="TABLE"/>
      <sheetName val="재료비"/>
      <sheetName val="기준"/>
      <sheetName val="협력사 일반현황"/>
      <sheetName val="생산현황 (입력)"/>
      <sheetName val="작업시간"/>
      <sheetName val="1.ER유체응용"/>
      <sheetName val="4.시험장비"/>
      <sheetName val="급여대장(기능직)"/>
      <sheetName val="1-1.General Code"/>
      <sheetName val="임율 &amp; LOT"/>
      <sheetName val="DataBase"/>
      <sheetName val="판매98"/>
      <sheetName val="GSTOTAL"/>
      <sheetName val="3-2_귀책부서별_DT현황1"/>
      <sheetName val="0_절삭조건"/>
      <sheetName val="Segments"/>
      <sheetName val="생산계획 (2)"/>
      <sheetName val="Type"/>
      <sheetName val="내장"/>
      <sheetName val="CR CODE"/>
      <sheetName val="부서CODE"/>
      <sheetName val="THEME CODE"/>
      <sheetName val="DAT_목표_"/>
      <sheetName val="지침"/>
      <sheetName val="MC&amp;다변화"/>
      <sheetName val="ROYALTY"/>
      <sheetName val="매입세율"/>
      <sheetName val="공사개요"/>
      <sheetName val="작업일보"/>
      <sheetName val="SHAFT"/>
      <sheetName val="검사성적서(갑)"/>
      <sheetName val="장적산출"/>
      <sheetName val="96PLAN"/>
      <sheetName val="채권(하반기)"/>
      <sheetName val="SPT"/>
      <sheetName val="자재단가"/>
      <sheetName val="NGS4"/>
      <sheetName val="공정별"/>
      <sheetName val="SPG생산"/>
      <sheetName val="일반관리비"/>
      <sheetName val="업체별 단가현황"/>
      <sheetName val="정비손익"/>
      <sheetName val="10-1"/>
      <sheetName val="P&amp;L,Bal Sheet,Cash Forecast"/>
      <sheetName val="비교원가제출.고"/>
      <sheetName val="중점과제-경비(제안)"/>
      <sheetName val="Basic assumptions"/>
      <sheetName val="98지급계획"/>
      <sheetName val="월간인력"/>
      <sheetName val="기타코드"/>
      <sheetName val="년령분석표(02년)"/>
      <sheetName val="지역별"/>
      <sheetName val="세부내용"/>
      <sheetName val="이름표모음"/>
      <sheetName val="MTK_사후"/>
      <sheetName val="94B"/>
      <sheetName val="원본(실제)"/>
      <sheetName val="#142-1-갑"/>
      <sheetName val="1.세부비교원가(내수)"/>
      <sheetName val="1.종합비교원가(내수_일반_유럽)"/>
      <sheetName val="TM1Variables"/>
      <sheetName val="손익계산서"/>
      <sheetName val="CF"/>
      <sheetName val="V64"/>
      <sheetName val="31323-4A005(PPK)"/>
      <sheetName val="회순"/>
      <sheetName val="작업장"/>
      <sheetName val="공통"/>
      <sheetName val="Budget"/>
      <sheetName val="사유코드"/>
      <sheetName val="자체실적1Q"/>
      <sheetName val="MPS Q3 FY04"/>
      <sheetName val="MPS Q4 FY04"/>
      <sheetName val="125PIECE"/>
      <sheetName val="BTS-시범물량"/>
      <sheetName val="시설투자"/>
      <sheetName val="소계정"/>
      <sheetName val="BND"/>
      <sheetName val="SPONGE단가"/>
      <sheetName val="시산9812"/>
      <sheetName val="R&amp;R(DATA)"/>
      <sheetName val="팀별종합"/>
      <sheetName val="검사협정서"/>
      <sheetName val="2002년판매실적"/>
      <sheetName val="03 PFD-1"/>
      <sheetName val="물산(양산)"/>
      <sheetName val="정공(양산)"/>
      <sheetName val="테크(양산)"/>
      <sheetName val="계열사현황종합"/>
      <sheetName val="인사자료총집계"/>
      <sheetName val="印刷補助"/>
      <sheetName val="P&amp;L"/>
      <sheetName val="출장거리"/>
      <sheetName val="수출"/>
      <sheetName val="계획수량"/>
      <sheetName val="ENG油洩れ"/>
      <sheetName val="15-COMP"/>
      <sheetName val="측정-1"/>
      <sheetName val="6C007(A)"/>
      <sheetName val="생산소모품"/>
      <sheetName val="일일 생산및판매계획 대 실적"/>
      <sheetName val="물품관리"/>
      <sheetName val="업체관리"/>
      <sheetName val="12.Inv."/>
      <sheetName val="주요재료비"/>
      <sheetName val="97년 재료예산(안)"/>
      <sheetName val="추산서총괄"/>
      <sheetName val="1.터빈"/>
      <sheetName val="HEAD"/>
      <sheetName val="SYS검토(1A1)"/>
      <sheetName val="13-1-2"/>
      <sheetName val="_x005f_x0000__x005f_x0000__x005f_x0000__x005f_x0000_ile"/>
      <sheetName val="설계일정"/>
      <sheetName val="가2"/>
      <sheetName val="승인1팀"/>
      <sheetName val="2. Definitions"/>
      <sheetName val="대표자"/>
      <sheetName val="단가MSTR"/>
      <sheetName val="11년단가"/>
      <sheetName val="생산직"/>
      <sheetName val="1월~3월"/>
      <sheetName val="4월~6월"/>
      <sheetName val="7-9월"/>
      <sheetName val="10월~12월"/>
      <sheetName val="첨부6)CAPA분석표"/>
      <sheetName val="공평3"/>
      <sheetName val="공문"/>
      <sheetName val="총론"/>
      <sheetName val="리드14"/>
      <sheetName val="규칙"/>
      <sheetName val="상세"/>
      <sheetName val="연구인원내역"/>
      <sheetName val="주E95711"/>
      <sheetName val="상불"/>
      <sheetName val="master"/>
      <sheetName val="76210원가"/>
      <sheetName val="품명_자재코드"/>
      <sheetName val="코드 조건표"/>
      <sheetName val="코드_조건표"/>
      <sheetName val="MPL_技連"/>
      <sheetName val="342E_BLOCK"/>
      <sheetName val="송전기본"/>
      <sheetName val="협력사_일반현황"/>
      <sheetName val="금형_(2)"/>
      <sheetName val="오음명부"/>
      <sheetName val="CSC"/>
      <sheetName val="경비"/>
      <sheetName val="HMC 사전원가(원혁기준)13%"/>
      <sheetName val="1차명단"/>
      <sheetName val="2차 OIL량측정"/>
      <sheetName val="지점장"/>
      <sheetName val="총괄표"/>
      <sheetName val="LX3_0_RR1"/>
      <sheetName val="포머_비가동_내역"/>
      <sheetName val="Evaluation_objects"/>
      <sheetName val="FRONT_HUB견적가"/>
      <sheetName val="VS1_Paretto분석"/>
      <sheetName val="FLOW PROSES (A)"/>
      <sheetName val="세부견적"/>
      <sheetName val="VPP(BD-010) 이상보고"/>
      <sheetName val="인원수계산"/>
      <sheetName val="이름"/>
      <sheetName val="장비 전체리스트"/>
      <sheetName val="장비리스트"/>
      <sheetName val="재품별 단가"/>
      <sheetName val="세계수요종합OK"/>
      <sheetName val="중점과제별관리도"/>
      <sheetName val="BAFFLE HMC TABLE1"/>
      <sheetName val="Calculation"/>
      <sheetName val="production dept"/>
      <sheetName val="System"/>
      <sheetName val="6.수입검사 "/>
      <sheetName val="Hilfstabellen"/>
      <sheetName val="cost base e dati"/>
      <sheetName val="변수"/>
      <sheetName val="회사정보"/>
      <sheetName val="테이블"/>
      <sheetName val="대표경력"/>
      <sheetName val="Data Sheet"/>
      <sheetName val="INDIA-ML"/>
      <sheetName val="91"/>
      <sheetName val="전체지분도"/>
      <sheetName val="안산"/>
      <sheetName val="천안"/>
      <sheetName val="PB내역"/>
      <sheetName val="회사제시"/>
      <sheetName val="期別全体表"/>
      <sheetName val="Sensitivity"/>
      <sheetName val="Sheet13"/>
      <sheetName val="?????"/>
      <sheetName val="품의양"/>
      <sheetName val=" "/>
      <sheetName val="완성차"/>
      <sheetName val="FAB별"/>
      <sheetName val="기준계정"/>
      <sheetName val="코드"/>
      <sheetName val="komentár"/>
      <sheetName val="집중검사 리스트"/>
      <sheetName val="10.예산 및 원가 계획(02년)"/>
      <sheetName val="입고단가기준"/>
      <sheetName val="일반급여"/>
      <sheetName val="협력업체"/>
      <sheetName val="TOP_trans"/>
      <sheetName val="C_Pnl원가1"/>
      <sheetName val="DB"/>
      <sheetName val="F4"/>
      <sheetName val="예상효과"/>
      <sheetName val="실행내역서 "/>
      <sheetName val="상각율표"/>
      <sheetName val="개발 LIST"/>
      <sheetName val="프레스"/>
      <sheetName val="등록의뢰"/>
      <sheetName val="공정별CR"/>
      <sheetName val="000000"/>
      <sheetName val="WBS98"/>
      <sheetName val="관로공표지"/>
      <sheetName val="Danh sach Hàn thùng"/>
      <sheetName val="1_TM2"/>
      <sheetName val="TOT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BUS"/>
      <sheetName val="LOAIXE"/>
      <sheetName val="Nguon PT xetai"/>
      <sheetName val="NGUON"/>
      <sheetName val="Nguon PT xe Ben"/>
      <sheetName val="Bien so"/>
      <sheetName val="DM KHAU HA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Danh sach"/>
      <sheetName val="THƯ VIỆN"/>
      <sheetName val="연습"/>
      <sheetName val="업체별매출실적"/>
      <sheetName val="기본정보"/>
      <sheetName val="초기화면"/>
      <sheetName val="근태일지"/>
      <sheetName val="Master Cable"/>
      <sheetName val="ISRDATA"/>
      <sheetName val="Supplement2"/>
      <sheetName val="첨부⑥"/>
      <sheetName val="CAPA분석 360K"/>
      <sheetName val="을"/>
      <sheetName val="초등학교내역서"/>
      <sheetName val="금관"/>
      <sheetName val="백화"/>
      <sheetName val="기초데이타"/>
      <sheetName val="작동logic"/>
      <sheetName val="6 N.m CCW 전류"/>
      <sheetName val="기준코드"/>
      <sheetName val="원단위 전후비교"/>
      <sheetName val="EF-SONATA"/>
      <sheetName val="02년 SUC"/>
      <sheetName val="투입공수계획"/>
      <sheetName val="월간생산계획"/>
      <sheetName val="최신"/>
      <sheetName val="소유주(원)"/>
      <sheetName val="Bosch ADVP&amp;R"/>
      <sheetName val="SFM-TTL"/>
      <sheetName val="수h"/>
      <sheetName val="PAKAGE4362"/>
      <sheetName val="980710"/>
      <sheetName val="업체별"/>
      <sheetName val="Purchasing Data"/>
      <sheetName val="실적 및 계획"/>
      <sheetName val="LL"/>
      <sheetName val="공정능력(1)"/>
      <sheetName val="공정능력 (2)"/>
      <sheetName val="한성화물"/>
      <sheetName val="소결재공"/>
      <sheetName val="판매수량"/>
      <sheetName val="종목코드"/>
      <sheetName val="MexiqueVentes97"/>
      <sheetName val="3. 관리점지수실적-1.1생산성"/>
      <sheetName val="Sec 1 - RFQ"/>
      <sheetName val="ERP도입후 시정현황"/>
      <sheetName val="Sheet6"/>
      <sheetName val="제품정보"/>
      <sheetName val="销售计划"/>
      <sheetName val="Headcount"/>
      <sheetName val="Sales_LT"/>
      <sheetName val="승용"/>
      <sheetName val="OEM 이의제기 종합"/>
      <sheetName val="공정능력평가-2"/>
      <sheetName val="공정능력평가-3"/>
      <sheetName val="외관검사"/>
      <sheetName val="1-1-1-2"/>
      <sheetName val="Sheet10"/>
      <sheetName val="pri"/>
      <sheetName val="외주업체"/>
      <sheetName val="임시12월"/>
      <sheetName val="생산_P"/>
      <sheetName val="Graph"/>
      <sheetName val="매출DATA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미익SUB"/>
      <sheetName val="Bang KL"/>
      <sheetName val="5300"/>
      <sheetName val="단기차입금(200006)"/>
      <sheetName val="영업외"/>
      <sheetName val="1.1 2008 OTIF"/>
      <sheetName val="▶사출"/>
      <sheetName val="▶R_C FRM"/>
      <sheetName val="동성세부내역"/>
      <sheetName val="차체 품안표"/>
      <sheetName val="주요재무비율"/>
      <sheetName val="PNL ASS'Y CRASH PAD UPR RH"/>
      <sheetName val="CHINO검량선"/>
      <sheetName val="재고정확2"/>
      <sheetName val="수정시산표"/>
      <sheetName val="TEMP1"/>
      <sheetName val="A1"/>
      <sheetName val="S50 "/>
      <sheetName val="여비"/>
      <sheetName val="TABLE(KR)"/>
      <sheetName val="생산실적"/>
      <sheetName val="PC%계산(WM.COMM단차)"/>
      <sheetName val="급여대장(입력용)"/>
      <sheetName val="설비LIST"/>
      <sheetName val="매출"/>
      <sheetName val="무부하 회전수"/>
      <sheetName val="END"/>
      <sheetName val="1~3월 지시사항"/>
      <sheetName val="인원01"/>
      <sheetName val="1.POSITIONING"/>
      <sheetName val="사양정리"/>
      <sheetName val="Value Analysis - Sheet 1"/>
      <sheetName val="84531"/>
      <sheetName val="lot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차체부품_INS_REPORT(갑)2"/>
      <sheetName val="2_대외공문2"/>
      <sheetName val="외주현황_wq12"/>
      <sheetName val="FUEL_FILLER2"/>
      <sheetName val="3_일반사상2"/>
      <sheetName val="5_WIRE적용LIST2"/>
      <sheetName val="진행_DATA_(2)2"/>
      <sheetName val="3-2_귀책부서별_DT현황2"/>
      <sheetName val="_납촉자2"/>
      <sheetName val="LX3_0_RR2"/>
      <sheetName val="SUB_2월_재검사추이도1"/>
      <sheetName val="JT3_0견적-구11"/>
      <sheetName val="c_db1"/>
      <sheetName val="B053_(990701)공정실적PP%계산1"/>
      <sheetName val="일일_업무_현황_(3)1"/>
      <sheetName val="일일_업무_현황_(5)1"/>
      <sheetName val="CR_CODE"/>
      <sheetName val="THEME_CODE"/>
      <sheetName val="0_절삭조건1"/>
      <sheetName val="1_세부비교원가(내수)"/>
      <sheetName val="J150_승인진도관리_LIST"/>
      <sheetName val="TOTAL_LIST"/>
      <sheetName val="Price_Range"/>
      <sheetName val="FTR_MACRo"/>
      <sheetName val="1_종합비교원가(내수_일반_유럽)"/>
      <sheetName val="금형_(2)1"/>
      <sheetName val="VS1_Paretto분석1"/>
      <sheetName val="임율_&amp;_LOT"/>
      <sheetName val="MPL_技連1"/>
      <sheetName val="342E_BLOCK1"/>
      <sheetName val="생산현황_(입력)"/>
      <sheetName val="포머_비가동_내역1"/>
      <sheetName val="1_ER유체응용"/>
      <sheetName val="4_시험장비"/>
      <sheetName val="협력사_일반현황1"/>
      <sheetName val="상세_계산_내역"/>
      <sheetName val="생산계획_(2)"/>
      <sheetName val="DATA_BASE"/>
      <sheetName val="Evaluation_objects1"/>
      <sheetName val="FRONT_HUB견적가1"/>
      <sheetName val="1-1_General_Code"/>
      <sheetName val="TEMP_TORQUE1"/>
      <sheetName val="1_변경범위1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내수1_8GL"/>
      <sheetName val="업체별_단가현황"/>
      <sheetName val="비교원가제출_고"/>
      <sheetName val="Basic_assumptions"/>
      <sheetName val="운임_환차손-Y1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항목"/>
      <sheetName val="부동산세금"/>
      <sheetName val="국영"/>
      <sheetName val="TEAM하반기 계획 (2)"/>
      <sheetName val="96연구소인건비"/>
      <sheetName val="KURSER"/>
      <sheetName val="업체리스트"/>
      <sheetName val="거래처관리"/>
      <sheetName val="ﾊﾟｲﾌﾟ"/>
      <sheetName val="冷延鋼板"/>
      <sheetName val="熱延鋼板"/>
      <sheetName val="他材料費"/>
      <sheetName val="印刷"/>
      <sheetName val="条件表"/>
      <sheetName val="02-2W"/>
      <sheetName val="별제권_정리담보권"/>
      <sheetName val="ﾏｽﾀ"/>
      <sheetName val="견적마법사"/>
      <sheetName val="전처리"/>
      <sheetName val="Option"/>
      <sheetName val="Upgrades pricing"/>
      <sheetName val="7.3 DY팀"/>
      <sheetName val="5-Why Root Cause Analysis "/>
      <sheetName val="#REF!"/>
      <sheetName val="조정내역"/>
      <sheetName val="주간업무(개발구매팀)"/>
      <sheetName val="Cover"/>
      <sheetName val="포트외경(A)"/>
      <sheetName val="2001Org"/>
      <sheetName val="일보"/>
      <sheetName val="BSL"/>
      <sheetName val="진행중 설변"/>
      <sheetName val="96수표어음"/>
      <sheetName val="실적관리"/>
      <sheetName val="Financials"/>
      <sheetName val="Yield"/>
      <sheetName val="산출기준(파견전산실)"/>
      <sheetName val="품목"/>
      <sheetName val="계정"/>
      <sheetName val="수입명세서"/>
      <sheetName val="계산program"/>
      <sheetName val="impianti"/>
      <sheetName val="출력-생산일보"/>
      <sheetName val="품목표"/>
      <sheetName val="Moulding data"/>
      <sheetName val="Volumes"/>
      <sheetName val="SCP 4"/>
      <sheetName val="SCP 5 D2UXT"/>
      <sheetName val="SCP 6 D2UX"/>
      <sheetName val="Invest (MAC)"/>
      <sheetName val="SCP Apr2015"/>
      <sheetName val="HOLE 9905(1)"/>
      <sheetName val="VXX"/>
      <sheetName val="."/>
      <sheetName val="공정능력(마운틴 홀 거리)"/>
      <sheetName val="양식_샘플"/>
      <sheetName val="8월3주"/>
      <sheetName val="Questionnaire"/>
      <sheetName val="2-1.제품군별계획대비실적(B.A)"/>
      <sheetName val="f3"/>
      <sheetName val="0105"/>
      <sheetName val="0505"/>
      <sheetName val="그래프"/>
      <sheetName val="공사원가계산서"/>
      <sheetName val="Summary Sheet"/>
      <sheetName val="Datasheet for KPI Model 1"/>
      <sheetName val="만년달력"/>
      <sheetName val="휴일"/>
      <sheetName val="LINE_VENT"/>
      <sheetName val="신공항A-9(원가수정)"/>
      <sheetName val="감독1130"/>
      <sheetName val="RECIMAKE"/>
      <sheetName val="6월재고2"/>
      <sheetName val="광주 소요량"/>
      <sheetName val="2월"/>
      <sheetName val="조립"/>
      <sheetName val="신규"/>
      <sheetName val="_x0000__x0000__x0000__x0000_ile"/>
      <sheetName val="XMA 12월 8,000대 원,부자재_完"/>
      <sheetName val="YFA 10월분 원자재(10.12)_미납완료_完"/>
      <sheetName val="YFA 10월분 부자재(10.7,9)_FEDEX_完"/>
      <sheetName val="HD1070(T)"/>
      <sheetName val="9703"/>
      <sheetName val="원재료불량"/>
      <sheetName val="sapactivexlhiddensheet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cpk data"/>
      <sheetName val="Tubelists"/>
      <sheetName val="표준"/>
      <sheetName val="설비사양서B-1"/>
      <sheetName val="full (2)"/>
      <sheetName val="Production Plan1"/>
      <sheetName val="DBL LPG시험"/>
      <sheetName val="목표대비실적(R)"/>
      <sheetName val="SMXEXPS"/>
      <sheetName val="금형표지"/>
      <sheetName val="INVESTMENT (Hardware)"/>
      <sheetName val="ROLL"/>
      <sheetName val="95MAKER"/>
      <sheetName val="GAGE R&amp;R(FRT UPR)"/>
      <sheetName val="사업소별9812"/>
      <sheetName val="10년11월이월현황"/>
      <sheetName val="중공업 실적"/>
      <sheetName val="16-1531"/>
      <sheetName val=" 하반기 경비 조정계획_150627(사계 r2 기준).x"/>
      <sheetName val="치공구"/>
      <sheetName val="판가반영"/>
      <sheetName val="so-021"/>
      <sheetName val="선재"/>
      <sheetName val="????ilencer"/>
      <sheetName val="생산실적입력"/>
      <sheetName val="법인세부담액"/>
      <sheetName val="등록자료"/>
      <sheetName val="입력정보"/>
      <sheetName val="여신보고용"/>
      <sheetName val="서진단가"/>
      <sheetName val="기아계획"/>
      <sheetName val="세목별"/>
      <sheetName val="A"/>
      <sheetName val="스풀능력"/>
      <sheetName val="노무비"/>
      <sheetName val="매출이익(실적)"/>
      <sheetName val="9609추"/>
      <sheetName val="국산화"/>
      <sheetName val="0.CHMSL LED ASSY"/>
      <sheetName val="변환테이블"/>
      <sheetName val="불량 리스트"/>
      <sheetName val="불량 코드"/>
      <sheetName val="현금흐름표"/>
      <sheetName val="그림목록"/>
      <sheetName val="침탄데이타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1.세부비교_x001b__x0000__x0000_㣪洁ᚦ"/>
      <sheetName val="목차"/>
      <sheetName val="82351"/>
      <sheetName val="6_수입검사_"/>
      <sheetName val="12_Inv_"/>
      <sheetName val="97년_재료예산(안)"/>
      <sheetName val="1_터빈"/>
      <sheetName val="cost_base_e_dati"/>
      <sheetName val="_"/>
      <sheetName val="집중검사_리스트"/>
      <sheetName val="10_예산_및_원가_계획(02년)"/>
      <sheetName val="실행내역서_"/>
      <sheetName val="개발_LIST"/>
      <sheetName val="Data_Sheet"/>
      <sheetName val="BAFFLE_HMC_TABLE1"/>
      <sheetName val="Value_Analysis_-_Sheet_1"/>
      <sheetName val="PC%계산(WM_COMM단차)"/>
      <sheetName val="Cost_Reduction"/>
      <sheetName val="차체_품안표"/>
      <sheetName val="1_1_2008_OTIF"/>
      <sheetName val="1~3월_지시사항"/>
      <sheetName val="1_POSITIONING"/>
      <sheetName val="production_dept"/>
      <sheetName val="51700-C2100(이의제기)"/>
      <sheetName val="BS"/>
      <sheetName val="TB"/>
      <sheetName val="부서별3월"/>
      <sheetName val="인원"/>
      <sheetName val="HeaderInfo"/>
      <sheetName val="J100"/>
      <sheetName val="RFQ Template"/>
      <sheetName val="科目余额表"/>
      <sheetName val="정비사업장별전망"/>
      <sheetName val="부품목표"/>
      <sheetName val="부평"/>
      <sheetName val="분당"/>
      <sheetName val="평촌"/>
      <sheetName val="승인율"/>
      <sheetName val="3월말 장기악성(국내)"/>
      <sheetName val="2월말 장기악성(국내)"/>
      <sheetName val="3월"/>
      <sheetName val="Dossier_Cdc"/>
      <sheetName val="DFMEA-DRBFM"/>
      <sheetName val="95WBS"/>
      <sheetName val="재발방지대책서"/>
      <sheetName val="YOKE-H(10.3)"/>
      <sheetName val="분석"/>
      <sheetName val="TABLE DB"/>
      <sheetName val="쌍용 data base"/>
      <sheetName val="본부재고"/>
      <sheetName val="VERTICAL PIPE"/>
      <sheetName val="2쪽"/>
      <sheetName val="Sum"/>
      <sheetName val="ALL"/>
      <sheetName val="LIDE"/>
      <sheetName val="광주재료"/>
      <sheetName val="감가상각"/>
      <sheetName val="소요단량"/>
      <sheetName val="2과 공수집계"/>
      <sheetName val="2000"/>
      <sheetName val="LS"/>
      <sheetName val="첨부5"/>
      <sheetName val="5-2"/>
      <sheetName val="_____"/>
      <sheetName val="무부하_회전수"/>
      <sheetName val="진행중_설변"/>
      <sheetName val="HOLE_9905(1)"/>
      <sheetName val="Production_Plan1"/>
      <sheetName val="생산계획"/>
      <sheetName val="108.수선비"/>
      <sheetName val="8기전사사업계획"/>
      <sheetName val="36기상반기자금실적"/>
      <sheetName val="X3"/>
      <sheetName val="업체정보"/>
      <sheetName val="07DATA"/>
      <sheetName val="WJ素材費"/>
      <sheetName val="품의서양식 (3)"/>
      <sheetName val="예상투자비"/>
      <sheetName val="조선용암면"/>
      <sheetName val="종합장"/>
      <sheetName val="集計ﾘｽﾄ"/>
      <sheetName val="원가분석"/>
      <sheetName val="법인(환율지정)"/>
      <sheetName val="_x005f_x005f_x005f_x0000__x005f_x005f_x005f_x0000__x005"/>
      <sheetName val="1. 보고"/>
      <sheetName val="수지타입(ASSY)"/>
      <sheetName val="Asset98-CAK"/>
      <sheetName val="이체비용포함2"/>
      <sheetName val="이체비용포함"/>
      <sheetName val="PNL_ASS'Y_CRASH_PAD_UPR_RH"/>
      <sheetName val="Input Page"/>
      <sheetName val="Input Sheet"/>
      <sheetName val="Aug01 Status Rpt"/>
      <sheetName val="현금및현금등가물"/>
      <sheetName val="Base Info"/>
      <sheetName val="ISSUE LIST"/>
      <sheetName val="자료"/>
      <sheetName val="Assumption"/>
      <sheetName val="직원명부"/>
      <sheetName val="ALVXXL01"/>
      <sheetName val="철심금중량"/>
      <sheetName val="PC%계산DWMC"/>
      <sheetName val="구매내역"/>
      <sheetName val="생산실적db"/>
      <sheetName val="데이터"/>
      <sheetName val="비교원RD-S"/>
      <sheetName val="철판2"/>
      <sheetName val="년도별"/>
      <sheetName val="수출가격"/>
      <sheetName val="원가계산서양식"/>
      <sheetName val="TA10"/>
      <sheetName val="99예산"/>
      <sheetName val="PPS2"/>
      <sheetName val="材料"/>
      <sheetName val="SPA원가"/>
      <sheetName val="인건비"/>
      <sheetName val="종합BDATA"/>
      <sheetName val="적하보험"/>
      <sheetName val="옹벽1"/>
      <sheetName val="영업.일1"/>
      <sheetName val="품-(주)코①"/>
      <sheetName val="적용수량"/>
      <sheetName val="자재소요"/>
      <sheetName val="판매계획"/>
      <sheetName val="EurotoolsXRates"/>
      <sheetName val="PFMEA.XLS"/>
      <sheetName val="Cpk3"/>
      <sheetName val="INVESTMENT_(Hardware)"/>
      <sheetName val="거래처"/>
      <sheetName val="Config"/>
      <sheetName val="#93"/>
      <sheetName val="STEEL95"/>
      <sheetName val="Sheet6_(3)"/>
      <sheetName val="도표"/>
      <sheetName val="2008 г"/>
      <sheetName val="조서목차"/>
      <sheetName val="가격품의"/>
      <sheetName val="월매출"/>
      <sheetName val="M96현황-동아"/>
      <sheetName val="PILOT품"/>
      <sheetName val="금형품의서"/>
      <sheetName val="RELAY FAX양식"/>
      <sheetName val="상세 견적서 (HMC)"/>
      <sheetName val="Summary"/>
      <sheetName val="2.중요한회계정책"/>
      <sheetName val="9.관계기업투자"/>
      <sheetName val="42.리스"/>
      <sheetName val="25.법인세"/>
      <sheetName val="COKBOM"/>
      <sheetName val="ﾀｰﾋﾞﾝﾃﾞｰﾀ"/>
      <sheetName val="File_Table"/>
      <sheetName val="Proj List 00E"/>
      <sheetName val="부재료"/>
      <sheetName val="97입고현황(사내)"/>
      <sheetName val="97출고현황(SEC)"/>
      <sheetName val="97출고현황(매출분)"/>
      <sheetName val="첨부3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3M000"/>
      <sheetName val="물량표"/>
      <sheetName val="10년01월부터"/>
      <sheetName val="예적금"/>
      <sheetName val="세무서코드"/>
      <sheetName val="D300726_1"/>
      <sheetName val="3월판매예상_2주차"/>
      <sheetName val="_0602주-무결점운동 진행현황 보고 (20140610)"/>
      <sheetName val="업무분장 "/>
      <sheetName val="FELT"/>
      <sheetName val="내년"/>
      <sheetName val="DV Flow Chart DV-PV1 (PFC)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사업소득자세수추계"/>
      <sheetName val="WS"/>
      <sheetName val="DATA(1-8)"/>
      <sheetName val="1부생산계획"/>
      <sheetName val="이자수입"/>
      <sheetName val="사외외주매출"/>
      <sheetName val="20일시험전표지"/>
      <sheetName val="FRONT"/>
      <sheetName val="REAR "/>
      <sheetName val="FR저항Cp"/>
      <sheetName val="abs dac검사대비분석자료2"/>
      <sheetName val="RFQ Form"/>
      <sheetName val="00년거래처별실적"/>
      <sheetName val="재고품목"/>
      <sheetName val="CPK_CHART"/>
      <sheetName val="pl2k12"/>
      <sheetName val="생산(전장입력)-1"/>
      <sheetName val="GLOBAL PT NEW FORMAT JULY  2002"/>
      <sheetName val="C100"/>
      <sheetName val="인원부하"/>
      <sheetName val="DOM-競合車SPEC"/>
      <sheetName val="출입자명단"/>
      <sheetName val="ｴｱﾃﾞｨｽｸ"/>
      <sheetName val="평가표"/>
      <sheetName val="FMEAPRO3"/>
      <sheetName val="담당"/>
      <sheetName val="생산2부(COL'M,U_J)"/>
      <sheetName val="BOM"/>
      <sheetName val="산업판매입력"/>
      <sheetName val="3.PT개발계획"/>
      <sheetName val="예정임율"/>
      <sheetName val="Y3-LIST"/>
      <sheetName val="PPK(공정능력조사표)"/>
      <sheetName val="N719(NC)"/>
      <sheetName val="Interco &amp; PVS Loc Cur"/>
      <sheetName val="실적(Q11)"/>
      <sheetName val="예산(Q11)"/>
      <sheetName val="자가2급"/>
      <sheetName val="해외생산"/>
      <sheetName val="내역"/>
      <sheetName val="FO원단위"/>
      <sheetName val="Sheet16"/>
      <sheetName val="TRANSLAT"/>
      <sheetName val="21444-41900"/>
      <sheetName val="원가절감"/>
      <sheetName val="별도관리"/>
      <sheetName val="SOURCE"/>
      <sheetName val="공수"/>
      <sheetName val="3620SE"/>
      <sheetName val="공정별공법-W.HSE-LH"/>
      <sheetName val="효성"/>
      <sheetName val="자체실적Y"/>
      <sheetName val="과제"/>
      <sheetName val="Sales"/>
      <sheetName val="c.db1"/>
      <sheetName val="1st"/>
      <sheetName val="고객불만 건"/>
      <sheetName val="BACK_DATA_08_7_1~2"/>
      <sheetName val="E_W2"/>
      <sheetName val="P_W2"/>
      <sheetName val="S_W2"/>
      <sheetName val="1ဲ_ALT2"/>
      <sheetName val="1ဳ_O_S2"/>
      <sheetName val="15_၄AMPER2"/>
      <sheetName val="GB-IC_Villingen_GG2"/>
      <sheetName val="BACK_DATA2"/>
      <sheetName val="OPT손익_내수2"/>
      <sheetName val="OPT손익_수출2"/>
      <sheetName val="二_POSITION_XLS2"/>
      <sheetName val="126_2551"/>
      <sheetName val="14_1부1"/>
      <sheetName val="CASE_ASM1"/>
      <sheetName val="매출종합_`091"/>
      <sheetName val="와이어"/>
      <sheetName val="제품명 (3)"/>
      <sheetName val="MethodC"/>
      <sheetName val="업무담당"/>
      <sheetName val="첨부2"/>
      <sheetName val="JUNY"/>
      <sheetName val="069"/>
      <sheetName val="본사-출장소구분"/>
      <sheetName val="생산일보"/>
      <sheetName val="품목테이블"/>
      <sheetName val="ref"/>
      <sheetName val="전사"/>
      <sheetName val="진급관련DATA"/>
      <sheetName val="소상_&quot;1&quot;1"/>
      <sheetName val="예금미수이자(6월)"/>
      <sheetName val="TL PROTO 2열"/>
      <sheetName val="참조코드현황"/>
      <sheetName val="10-1소요"/>
      <sheetName val="목표세부명세"/>
      <sheetName val="99원가원판"/>
      <sheetName val="기안지"/>
      <sheetName val="应收帐款"/>
      <sheetName val="대지급(한미)"/>
      <sheetName val="전장품(관리용)"/>
      <sheetName val="2선재"/>
      <sheetName val="094_APP別"/>
      <sheetName val="현장"/>
      <sheetName val="변제"/>
      <sheetName val="10월11일"/>
      <sheetName val="설비능력및_종합공정능력산출시_사용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팀별_합계1"/>
      <sheetName val="Nego_PV1"/>
      <sheetName val="LAMBDA_자작1"/>
      <sheetName val="SPEC1"/>
      <sheetName val="INDEX"/>
      <sheetName val="공용라이온-2"/>
      <sheetName val="GM Master"/>
      <sheetName val="97계획(96.11"/>
      <sheetName val="재공품기초자료"/>
      <sheetName val="퇴충수정"/>
      <sheetName val="Validation Lists"/>
      <sheetName val="参照条件"/>
      <sheetName val="참고"/>
      <sheetName val="CR금액"/>
      <sheetName val="OEM Plan"/>
      <sheetName val="SO416"/>
      <sheetName val="구매사양"/>
      <sheetName val="ALPROFILE_발주실적"/>
      <sheetName val="Basic"/>
      <sheetName val="DIEZEL動弁相場"/>
      <sheetName val="4.3 첨부1"/>
      <sheetName val="5호기_Query"/>
      <sheetName val="사업경"/>
      <sheetName val="기본정보입력"/>
      <sheetName val="세부자료"/>
      <sheetName val="투자예산"/>
      <sheetName val="원가기초정보"/>
      <sheetName val="산정표"/>
      <sheetName val="영업인계"/>
      <sheetName val="재공재고"/>
      <sheetName val="포장현황"/>
      <sheetName val="분류"/>
      <sheetName val="계실5-1"/>
      <sheetName val="工程信息"/>
      <sheetName val="초기공정능력"/>
      <sheetName val="불량코드"/>
      <sheetName val="MC%계산"/>
      <sheetName val="※목록"/>
      <sheetName val="공정능력"/>
      <sheetName val="구분자료"/>
      <sheetName val="검사협정 보충"/>
      <sheetName val="Supplier QRQC"/>
      <sheetName val="발주서"/>
      <sheetName val="X-3_ENG"/>
      <sheetName val="Sheet1_(2)"/>
      <sheetName val="Sch7a_(토요일)"/>
      <sheetName val="GLOBAL_PT_NEW_FORMAT_OCT_2002"/>
      <sheetName val="대외공문_"/>
      <sheetName val="5_세운W-A2"/>
      <sheetName val="PRESS_DATA1"/>
      <sheetName val="X-3_ENG1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ဲ_ALT3"/>
      <sheetName val="1ဳ_O_S3"/>
      <sheetName val="15_၄AMPER3"/>
      <sheetName val="GB-IC_Villingen_GG3"/>
      <sheetName val="BACK_DATA_08_7_1~3"/>
      <sheetName val="E_W3"/>
      <sheetName val="P_W3"/>
      <sheetName val="S_W3"/>
      <sheetName val="二_POSITION_XLS3"/>
      <sheetName val="OPT손익_내수3"/>
      <sheetName val="OPT손익_수출3"/>
      <sheetName val="BACK_DATA3"/>
      <sheetName val="외주현황_wq13"/>
      <sheetName val="2_대외공문3"/>
      <sheetName val="TEMP_TORQUE2"/>
      <sheetName val="5_세운W-A3"/>
      <sheetName val="126_2552"/>
      <sheetName val="B053_(990701)공정실적PP%계산2"/>
      <sheetName val="CASE_ASM2"/>
      <sheetName val="14_1부2"/>
      <sheetName val="1_변경범위2"/>
      <sheetName val="JT3_0견적-구12"/>
      <sheetName val="PRESS_DATA2"/>
      <sheetName val="SUB_2월_재검사추이도2"/>
      <sheetName val="c_db2"/>
      <sheetName val="설비능력및_종합공정능력산출시_사용2"/>
      <sheetName val="소상_&quot;1&quot;2"/>
      <sheetName val="팀별_합계2"/>
      <sheetName val="운임_환차손-Y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내수1_8GL1"/>
      <sheetName val="외주품_감점_유형_기준"/>
      <sheetName val="PRO_(참조)"/>
      <sheetName val="Master_Cable"/>
      <sheetName val="CAPA분석_360K"/>
      <sheetName val="실적_및_계획"/>
      <sheetName val="공정능력_(2)"/>
      <sheetName val="3__관리점지수실적-1_1생산성"/>
      <sheetName val="Sec_1_-_RFQ"/>
      <sheetName val="02년_SUC"/>
      <sheetName val="Rate_data"/>
      <sheetName val="원단위_전후비교"/>
      <sheetName val="Bosch_ADVP&amp;R"/>
      <sheetName val="_SR3차원단위_(3)"/>
      <sheetName val="공정별공법-W_HSE-LH"/>
      <sheetName val="73711"/>
      <sheetName val="설계명세"/>
      <sheetName val="PS SIDE OTR INR 공정개선 상세"/>
      <sheetName val="비가동-20"/>
      <sheetName val="영업용가격대"/>
      <sheetName val="노동부"/>
      <sheetName val="첨부#1(SRC)"/>
      <sheetName val="1.기안을지"/>
      <sheetName val="PROFILE"/>
      <sheetName val="콤비품의-3"/>
      <sheetName val="3사분기"/>
      <sheetName val="분기별데이타"/>
      <sheetName val="월별데이타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HSA"/>
      <sheetName val="TEL"/>
      <sheetName val="분석DATA(년도별)"/>
      <sheetName val="09년 현황"/>
      <sheetName val="CNC810M"/>
      <sheetName val="원가절감종합"/>
      <sheetName val="WTC BODY一覧原紙"/>
      <sheetName val="국고채권3-5"/>
      <sheetName val="가동일보"/>
      <sheetName val="5사남"/>
      <sheetName val="BOX ASSY"/>
      <sheetName val="After sales"/>
      <sheetName val="CAR Form Summary"/>
      <sheetName val="첨부4.기술평가서"/>
      <sheetName val="LOCKUP"/>
      <sheetName val="54813M2001"/>
      <sheetName val="Personnaliser..."/>
      <sheetName val="Takt Time"/>
      <sheetName val="시설이용권명세서"/>
      <sheetName val="특정현금과예금"/>
      <sheetName val="99정부과제종합"/>
      <sheetName val="Data입력"/>
      <sheetName val="기계(1998~2003년)작업본"/>
      <sheetName val="기계(2004년)작업본"/>
      <sheetName val="입력laser"/>
      <sheetName val="25414-B2060"/>
      <sheetName val="項目定義"/>
      <sheetName val="양식-금형"/>
      <sheetName val="1.2.2완제품검사('00.4월) (가라)"/>
      <sheetName val="cr2000분석"/>
      <sheetName val="64512(갑)"/>
      <sheetName val="경영재무 (입력)"/>
      <sheetName val="연구개발 (입력)"/>
      <sheetName val="일반현황 (입력)"/>
      <sheetName val="품질관리 (입력)"/>
      <sheetName val="Data Input"/>
      <sheetName val="건축내역"/>
      <sheetName val="평가"/>
      <sheetName val="별제권_정리담보권1"/>
      <sheetName val="금형이력"/>
      <sheetName val="설계내역서"/>
      <sheetName val="종합표"/>
      <sheetName val="FO-BO-ER"/>
      <sheetName val="INJ_FRT"/>
      <sheetName val="3.3검토국"/>
      <sheetName val="출고현황"/>
      <sheetName val="오퍼(DS)"/>
      <sheetName val="6월(DS)"/>
      <sheetName val="물량표S"/>
      <sheetName val="PAINT"/>
      <sheetName val="실행내역"/>
      <sheetName val="4월"/>
      <sheetName val="비용구조"/>
      <sheetName val="피엘"/>
      <sheetName val="Issues List"/>
      <sheetName val="Appendix_TT"/>
      <sheetName val="(2)월생산현황 "/>
      <sheetName val="LINE PPM-분석"/>
      <sheetName val="현장관리비"/>
      <sheetName val="수불부"/>
      <sheetName val="Actual data"/>
      <sheetName val="기준정보"/>
      <sheetName val="불량건수"/>
      <sheetName val="외주집계"/>
      <sheetName val="배부기준"/>
      <sheetName val="원가 종합"/>
      <sheetName val="SM672-001(A)"/>
      <sheetName val="3)재료비"/>
      <sheetName val="CPk원본"/>
      <sheetName val="GYOKAK2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J2(P.MT)"/>
      <sheetName val="DS-Thuong 6T dau"/>
      <sheetName val="전산DATA"/>
      <sheetName val="551"/>
      <sheetName val="집계표(VAN)"/>
      <sheetName val="TWIST"/>
      <sheetName val="양식(주)"/>
      <sheetName val="PQ분석2"/>
      <sheetName val="PQ분석3"/>
      <sheetName val="PQ분석1"/>
      <sheetName val="투자승인절차"/>
      <sheetName val="광주"/>
      <sheetName val="Bas Moteur"/>
      <sheetName val="Hab2"/>
      <sheetName val="Hab1"/>
      <sheetName val="출금계획"/>
      <sheetName val="1_2내수2"/>
      <sheetName val="Cost_Reduction1"/>
      <sheetName val="PFMEA_XLS"/>
      <sheetName val="신고서_전"/>
      <sheetName val="Sheet6_(3)1"/>
      <sheetName val="영업_일1"/>
      <sheetName val="RELAY_FAX양식"/>
      <sheetName val="상세_견적서_(HMC)"/>
      <sheetName val="INVESTMENT_(Hardware)1"/>
      <sheetName val="2008_г"/>
      <sheetName val="2_중요한회계정책"/>
      <sheetName val="9_관계기업투자"/>
      <sheetName val="42_리스"/>
      <sheetName val="25_법인세"/>
      <sheetName val="_PPAP_작성중__xlsx"/>
      <sheetName val="Proj_List_00E"/>
      <sheetName val="DBL_LPG시험"/>
      <sheetName val="1_2내수3"/>
      <sheetName val="진행_DATA_(2)3"/>
      <sheetName val="Cost_Reduction2"/>
      <sheetName val="PFMEA_XLS1"/>
      <sheetName val="신고서_전1"/>
      <sheetName val="Basic_assumptions1"/>
      <sheetName val="Drop-down Lists"/>
      <sheetName val="incetive"/>
      <sheetName val="2012 Volum"/>
      <sheetName val="공장코드"/>
      <sheetName val="거래선"/>
      <sheetName val="완성차물량"/>
      <sheetName val="Part_no"/>
      <sheetName val="PARAMETRES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CFLOW"/>
      <sheetName val="B053 (990701)공정능력PC%계산"/>
      <sheetName val="OP12037"/>
      <sheetName val="종합현황"/>
      <sheetName val="1.세부비교_x001b_"/>
      <sheetName val="CHI TIẾT"/>
      <sheetName val="기간별품목별불량유형집계"/>
      <sheetName val="96원가"/>
      <sheetName val="4.Vendor price"/>
      <sheetName val="14년 증판안 판촉"/>
      <sheetName val="14,15,16"/>
      <sheetName val="RSDB"/>
      <sheetName val="WSDB"/>
      <sheetName val="Europe PU-1"/>
      <sheetName val="MM利益・原価企画方針書ｶｸ１"/>
      <sheetName val="PMBG12LD 장비및인원소요(D.A기준) "/>
      <sheetName val="basic_info"/>
      <sheetName val="10매출"/>
      <sheetName val="은행"/>
      <sheetName val="TEMP2"/>
      <sheetName val="PIVOT"/>
      <sheetName val="표준(재질단가,조형단가)"/>
      <sheetName val="표준(중자)"/>
      <sheetName val="기본데이타"/>
      <sheetName val="2WD(KJ5G0662)"/>
      <sheetName val="MAT_N048"/>
      <sheetName val="구분목록"/>
      <sheetName val="사원관리"/>
      <sheetName val="조정"/>
      <sheetName val="NEW TOOL MASTER"/>
      <sheetName val="stockmonthlylist(stock_20190828"/>
      <sheetName val="DWPM분석시트"/>
      <sheetName val="매출(총액)"/>
      <sheetName val="판관비"/>
      <sheetName val="3-2002년 소모공구비"/>
      <sheetName val="数据库不可删除"/>
      <sheetName val="WE'T"/>
      <sheetName val="BREAKDOWN(철거설치)"/>
      <sheetName val="6월"/>
      <sheetName val="1.TAT_Info."/>
      <sheetName val="STD_DEVCHARTadd"/>
      <sheetName val="재품명"/>
      <sheetName val="불량명"/>
      <sheetName val="효과금액비교"/>
      <sheetName val="1.TP조립"/>
      <sheetName val="기타 부자재"/>
      <sheetName val="분리막"/>
      <sheetName val="전해액"/>
      <sheetName val="4.20)통계적기법관리절차서"/>
      <sheetName val="주E957㲆"/>
      <sheetName val="주E957㲆"/>
      <sheetName val="설비LIS_x0000_"/>
      <sheetName val="설비LIS_x0001_"/>
      <sheetName val="설비LIS"/>
      <sheetName val="개발원가 종합"/>
      <sheetName val="Raw_data"/>
      <sheetName val="SALE분석"/>
      <sheetName val="체재비"/>
      <sheetName val="월간단가"/>
      <sheetName val="Sheet"/>
      <sheetName val="5업체"/>
      <sheetName val="갑지"/>
      <sheetName val="１１月"/>
      <sheetName val="MS.SPEC"/>
      <sheetName val="SP"/>
      <sheetName val="재(실)"/>
      <sheetName val="인도원가"/>
      <sheetName val="PL"/>
      <sheetName val="BI-FUEL AIR VENT PIPE"/>
      <sheetName val="매입자료1"/>
      <sheetName val="Actual In &amp; Out"/>
      <sheetName val="차액보증"/>
      <sheetName val="1.종합평가표"/>
      <sheetName val="RFQ 1804"/>
      <sheetName val="운영"/>
      <sheetName val="DS_MBR RR Side  - PcA"/>
      <sheetName val="SRC(현재)"/>
      <sheetName val="차체부품_INS_REPORT(갑)3"/>
      <sheetName val="FUEL_FILLER3"/>
      <sheetName val="5_WIRE적용LIST3"/>
      <sheetName val="_납촉자3"/>
      <sheetName val="3_일반사상3"/>
      <sheetName val="금형_(2)2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SUB_2월_재검사추이도3"/>
      <sheetName val="JT3_0견적-구13"/>
      <sheetName val="c_db3"/>
      <sheetName val="금형_(2)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J150_승인진도관리_LIST2"/>
      <sheetName val="TOTAL_LIST2"/>
      <sheetName val="Price_Range2"/>
      <sheetName val="FTR_MACRo2"/>
      <sheetName val="협력사_일반현황2"/>
      <sheetName val="0_절삭조건2"/>
      <sheetName val="상세_계산_내역2"/>
      <sheetName val="MPL_技連2"/>
      <sheetName val="342E_BLOCK2"/>
      <sheetName val="1-1_General_Code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J150_승인진도관리_LIST1"/>
      <sheetName val="TOTAL_LIST1"/>
      <sheetName val="Price_Range1"/>
      <sheetName val="FTR_MACRo1"/>
      <sheetName val="상세_계산_내역1"/>
      <sheetName val="지점분석00"/>
      <sheetName val="Dual PMP수율"/>
      <sheetName val="业体目录"/>
      <sheetName val="LJM"/>
      <sheetName val="Full PBD"/>
      <sheetName val="첨부13. 사출(PAD)_카메라"/>
      <sheetName val="설비LIS"/>
      <sheetName val="Data-year2001i"/>
      <sheetName val="Tien Thuong"/>
      <sheetName val="NC XL 6T cuoi 01 CTy"/>
      <sheetName val="Data -6T dau"/>
      <sheetName val="Cong 6T"/>
      <sheetName val="신청현황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라이온2"/>
      <sheetName val="공통비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CONSUMO DE RESINA "/>
      <sheetName val="드롭다운"/>
      <sheetName val="업체데이터"/>
      <sheetName val="Tool Type"/>
      <sheetName val="LCAUTO.4"/>
      <sheetName val="LCAT수.조"/>
      <sheetName val="1단가변동"/>
      <sheetName val="日程"/>
      <sheetName val="進め方"/>
      <sheetName val="報告書表紙"/>
      <sheetName val="월별수입"/>
      <sheetName val=" Common Info Page"/>
      <sheetName val="XL4Poppy"/>
      <sheetName val="AQL(0.65)"/>
      <sheetName val="접촉온도"/>
      <sheetName val="_x005f_x0000__x005f_x0000__x005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NET면적"/>
      <sheetName val="2009년 매출 실적"/>
      <sheetName val="JINKYU"/>
      <sheetName val="OCT"/>
      <sheetName val="(9차)(본드합포)"/>
      <sheetName val="(9차)(화염양면라미)"/>
      <sheetName val="_1"/>
      <sheetName val="2-1_제품군별계획대비실적(B_A)"/>
      <sheetName val="공정능력(마운틴_홀_거리)"/>
      <sheetName val="Summary_Sheet"/>
      <sheetName val="Datasheet_for_KPI_Model_1"/>
      <sheetName val="OEM_이의제기_종합"/>
      <sheetName val="S50_"/>
      <sheetName val="신1"/>
      <sheetName val="DV_Flow_Chart_DV-PV1_(PFC)"/>
      <sheetName val="임율"/>
      <sheetName val="13년임율"/>
      <sheetName val="사정표"/>
      <sheetName val="구list"/>
      <sheetName val="단가2"/>
      <sheetName val="Burnish"/>
      <sheetName val="기타"/>
      <sheetName val="재질표"/>
      <sheetName val="내부품질감사절차서"/>
      <sheetName val="일보_생산"/>
      <sheetName val="2차 OI_x0010__x0000__xda10_࠱"/>
      <sheetName val="2차 OI_x0000__x0000_젘_x0000_"/>
      <sheetName val="2차 OI䑲⿀_x0000__x0000_"/>
      <sheetName val="공문송부업체"/>
      <sheetName val="기준DATA"/>
      <sheetName val="2차 OI_x0010_"/>
      <sheetName val="2차 OI"/>
      <sheetName val="Inputs"/>
      <sheetName val="DETAILS"/>
      <sheetName val="2차 OI䑲⿀"/>
      <sheetName val="채산"/>
      <sheetName val="수불카드"/>
      <sheetName val="20060624 공조제어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경비세부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vol_0312"/>
      <sheetName val="풍량상한치 제한 data"/>
      <sheetName val="변환"/>
      <sheetName val="Source List"/>
      <sheetName val="회의록"/>
      <sheetName val="원단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/>
      <sheetData sheetId="539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 refreshError="1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 refreshError="1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/>
      <sheetData sheetId="1463"/>
      <sheetData sheetId="1464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/>
      <sheetData sheetId="1677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/>
      <sheetData sheetId="1704"/>
      <sheetData sheetId="1705"/>
      <sheetData sheetId="1706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/>
      <sheetData sheetId="2220"/>
      <sheetData sheetId="2221"/>
      <sheetData sheetId="2222"/>
      <sheetData sheetId="2223">
        <row r="73">
          <cell r="E73">
            <v>-1978066.1999669024</v>
          </cell>
        </row>
      </sheetData>
      <sheetData sheetId="2224">
        <row r="73">
          <cell r="E73">
            <v>-1978066.1999669024</v>
          </cell>
        </row>
      </sheetData>
      <sheetData sheetId="2225">
        <row r="73">
          <cell r="E73">
            <v>-1978066.1999669024</v>
          </cell>
        </row>
      </sheetData>
      <sheetData sheetId="2226">
        <row r="73">
          <cell r="E73">
            <v>-1978066.1999669024</v>
          </cell>
        </row>
      </sheetData>
      <sheetData sheetId="2227">
        <row r="73">
          <cell r="E73">
            <v>-1978066.1999669024</v>
          </cell>
        </row>
      </sheetData>
      <sheetData sheetId="2228">
        <row r="73">
          <cell r="E73">
            <v>-1978066.1999669024</v>
          </cell>
        </row>
      </sheetData>
      <sheetData sheetId="2229">
        <row r="73">
          <cell r="E73">
            <v>-1978066.1999669024</v>
          </cell>
        </row>
      </sheetData>
      <sheetData sheetId="2230">
        <row r="73">
          <cell r="E73">
            <v>-1978066.1999669024</v>
          </cell>
        </row>
      </sheetData>
      <sheetData sheetId="2231">
        <row r="73">
          <cell r="E73">
            <v>-1978066.1999669024</v>
          </cell>
        </row>
      </sheetData>
      <sheetData sheetId="2232">
        <row r="73">
          <cell r="E73">
            <v>-1978066.1999669024</v>
          </cell>
        </row>
      </sheetData>
      <sheetData sheetId="2233">
        <row r="73">
          <cell r="E73">
            <v>-1978066.1999669024</v>
          </cell>
        </row>
      </sheetData>
      <sheetData sheetId="2234">
        <row r="73">
          <cell r="E73">
            <v>-1978066.1999669024</v>
          </cell>
        </row>
      </sheetData>
      <sheetData sheetId="2235">
        <row r="73">
          <cell r="E73">
            <v>-1978066.1999669024</v>
          </cell>
        </row>
      </sheetData>
      <sheetData sheetId="2236">
        <row r="73">
          <cell r="E73">
            <v>-1978066.1999669024</v>
          </cell>
        </row>
      </sheetData>
      <sheetData sheetId="2237">
        <row r="73">
          <cell r="E73">
            <v>-1978066.1999669024</v>
          </cell>
        </row>
      </sheetData>
      <sheetData sheetId="2238">
        <row r="73">
          <cell r="E73">
            <v>-1978066.1999669024</v>
          </cell>
        </row>
      </sheetData>
      <sheetData sheetId="2239">
        <row r="73">
          <cell r="E73">
            <v>-1978066.1999669024</v>
          </cell>
        </row>
      </sheetData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/>
      <sheetData sheetId="2377"/>
      <sheetData sheetId="2378"/>
      <sheetData sheetId="2379"/>
      <sheetData sheetId="2380"/>
      <sheetData sheetId="2381"/>
      <sheetData sheetId="2382"/>
      <sheetData sheetId="2383" refreshError="1"/>
      <sheetData sheetId="2384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  <sheetName val="CALENDAR"/>
      <sheetName val="DOOR"/>
      <sheetName val="CVT산정"/>
      <sheetName val="전체현황"/>
      <sheetName val="생계99ST"/>
      <sheetName val="PRDW30"/>
      <sheetName val="프로젝트"/>
      <sheetName val="5-1차수정"/>
      <sheetName val="Tbom-tot"/>
      <sheetName val="1.2내수"/>
      <sheetName val="일자별"/>
      <sheetName val="●일일실적"/>
      <sheetName val="GB-IC Villingen GG"/>
      <sheetName val="진행 DATA (2)"/>
      <sheetName val="차수"/>
      <sheetName val="부문손익"/>
      <sheetName val="#REF"/>
      <sheetName val="재1"/>
      <sheetName val="외주현황.wq1"/>
      <sheetName val="95하U$가격"/>
      <sheetName val="RDLEVLST"/>
      <sheetName val="폼관조직"/>
      <sheetName val="차체"/>
      <sheetName val="(BS,CF)-BACK"/>
      <sheetName val="부품LIST"/>
      <sheetName val="구동"/>
      <sheetName val="환율"/>
      <sheetName val="일본출1"/>
      <sheetName val="공정별설비검토"/>
      <sheetName val="1"/>
      <sheetName val="검토사항"/>
      <sheetName val="BAU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진행_DATA_(2)"/>
      <sheetName val="GB-IC_Villingen_GG"/>
      <sheetName val="1_2내수"/>
      <sheetName val="2_2공정능력"/>
      <sheetName val="추이도"/>
      <sheetName val="Danh Mục"/>
      <sheetName val="Danh Muc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1_2내수1"/>
      <sheetName val="GB-IC_Villingen_GG1"/>
      <sheetName val="진행_DATA_(2)1"/>
      <sheetName val="외주현황_wq1"/>
      <sheetName val="Danh_Mục"/>
      <sheetName val="Danh_Muc"/>
      <sheetName val="CD-실적"/>
      <sheetName val="파일테이블"/>
      <sheetName val="교육계획"/>
      <sheetName val="종합(PD,FD,RS)"/>
      <sheetName val="INPUT"/>
      <sheetName val="계산정보"/>
      <sheetName val="매출계획"/>
      <sheetName val="예산계획"/>
      <sheetName val="다목적갑"/>
      <sheetName val="매출종합.`09"/>
      <sheetName val="협조전"/>
      <sheetName val="AN43"/>
      <sheetName val="96수출"/>
      <sheetName val="집연95"/>
      <sheetName val="CPK"/>
      <sheetName val="Tiburon"/>
      <sheetName val="감사ⓚA"/>
      <sheetName val="HP1AMLIST"/>
      <sheetName val="차종별"/>
      <sheetName val="원본"/>
      <sheetName val="Cost Reduction"/>
      <sheetName val="Auswahl"/>
      <sheetName val="95계획"/>
      <sheetName val="PP%계산"/>
      <sheetName val=" PPAP 작성중 .xlsx"/>
      <sheetName val="WEIGHT"/>
      <sheetName val="1-Tables"/>
      <sheetName val="가격표"/>
      <sheetName val="Main"/>
      <sheetName val="PC%계산"/>
      <sheetName val="기초"/>
      <sheetName val="카니발슈마세피아"/>
      <sheetName val="표지"/>
      <sheetName val="Sheet4"/>
      <sheetName val="내부결재용"/>
      <sheetName val="p2-1"/>
      <sheetName val="본부별팀별9911"/>
      <sheetName val="SM-NEW"/>
      <sheetName val="수리결과"/>
      <sheetName val="DAT(목표)"/>
      <sheetName val="차체부품 INS REPORT(갑)"/>
      <sheetName val="본문"/>
      <sheetName val="major"/>
      <sheetName val="카메라"/>
      <sheetName val="DATA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재료(확정,11월19일)"/>
      <sheetName val="신고서.전"/>
      <sheetName val="MH_생산"/>
      <sheetName val="TOT"/>
      <sheetName val="품의양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Danh sach"/>
      <sheetName val="주행"/>
      <sheetName val="1ဲ.ALT"/>
      <sheetName val="1ဳ.O.S"/>
      <sheetName val="15.၄AMPER"/>
      <sheetName val="96"/>
      <sheetName val="626TD"/>
      <sheetName val="FMEAPRO5"/>
      <sheetName val="BACK DATA 08.7.1~"/>
      <sheetName val="E.W"/>
      <sheetName val="P.W"/>
      <sheetName val="가공비data"/>
      <sheetName val="S.W"/>
      <sheetName val="BACK DATA"/>
      <sheetName val="KMCWD"/>
      <sheetName val="OPT손익 내수"/>
      <sheetName val="OPT손익 수출"/>
      <sheetName val="二.POSITION.XLS"/>
      <sheetName val="반송불량율"/>
      <sheetName val="10월작업불량"/>
      <sheetName val=""/>
      <sheetName val="불량현황"/>
      <sheetName val="손익"/>
      <sheetName val="자산LIST"/>
      <sheetName val="BM_NEW2"/>
      <sheetName val="점유면적"/>
      <sheetName val="정리"/>
      <sheetName val="기초자료"/>
      <sheetName val="VT원단위"/>
      <sheetName val="KD율"/>
      <sheetName val="GRACE"/>
      <sheetName val="시설업체주소록"/>
      <sheetName val="64164"/>
      <sheetName val="2.대외공문"/>
      <sheetName val="현금경비중역"/>
      <sheetName val="HOUSING"/>
      <sheetName val="TEMP TORQUE"/>
      <sheetName val="MBNBSMTR"/>
      <sheetName val="5.세운W-A"/>
      <sheetName val="항목(1)"/>
      <sheetName val="출력값"/>
      <sheetName val="engline"/>
      <sheetName val="동아합의"/>
      <sheetName val="Sheet1"/>
      <sheetName val="126.255"/>
      <sheetName val="B053 (990701)공정실적PP%계산"/>
      <sheetName val="RHN"/>
      <sheetName val="TOTAL"/>
      <sheetName val="기초DATA"/>
      <sheetName val="RESN_SUM"/>
      <sheetName val="Actions"/>
      <sheetName val="상용"/>
      <sheetName val="건축공사"/>
      <sheetName val="14.1부"/>
      <sheetName val="BL제조표준"/>
      <sheetName val="CASE ASM"/>
      <sheetName val="공정능력외경"/>
      <sheetName val="Sheet2"/>
      <sheetName val="SUB 2월 재검사추이도"/>
      <sheetName val="A-100전제"/>
      <sheetName val="Pc1%계산"/>
      <sheetName val="CIELO발주"/>
      <sheetName val="세부"/>
      <sheetName val="법인+비법인"/>
      <sheetName val="LANOS"/>
      <sheetName val="LEGANZA"/>
      <sheetName val="NUBIRA"/>
      <sheetName val="팀별 합계"/>
      <sheetName val="JT3.0견적-구1"/>
      <sheetName val="생산1-1"/>
      <sheetName val="SPEC별"/>
      <sheetName val="삼공기계"/>
      <sheetName val="화환비상"/>
      <sheetName val="1.변경범위"/>
      <sheetName val="12"/>
      <sheetName val="개발 TOOL 집계표"/>
      <sheetName val="경상 개발비"/>
      <sheetName val="96갑지"/>
      <sheetName val="code"/>
      <sheetName val="C100보고서"/>
      <sheetName val="설비능력및 종합공정능력산출시 사용"/>
      <sheetName val="Data1"/>
      <sheetName val="0000"/>
      <sheetName val="직원신상"/>
      <sheetName val="12-30"/>
      <sheetName val="LX3.0 RR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Claim이력_내수내자"/>
      <sheetName val="T진도"/>
      <sheetName val="5.WIRE적용LIST"/>
      <sheetName val="수입"/>
      <sheetName val="HCCE01"/>
      <sheetName val="c.db"/>
      <sheetName val="N46"/>
      <sheetName val="TCA"/>
      <sheetName val="3.일반사상"/>
      <sheetName val="16~31"/>
      <sheetName val="MACRO1.XLM"/>
      <sheetName val="생산"/>
      <sheetName val="진도현황"/>
      <sheetName val="CLM-MP"/>
      <sheetName val="2000 (원본)"/>
      <sheetName val="LEASE4"/>
      <sheetName val="FUEL FILLER"/>
      <sheetName val="전부인쇄"/>
      <sheetName val="day"/>
      <sheetName val="명단"/>
      <sheetName val="RD제품개발투자비(매가)"/>
      <sheetName val="Macro1"/>
      <sheetName val="2"/>
      <sheetName val="환율기준"/>
      <sheetName val="3-2.귀책부서별 DT현황"/>
      <sheetName val="초도발주서"/>
      <sheetName val="미국"/>
      <sheetName val="통합data"/>
      <sheetName val=" 납촉자"/>
      <sheetName val="업체명"/>
      <sheetName val="순위"/>
      <sheetName val="Macro2"/>
      <sheetName val="대외공문"/>
      <sheetName val="확정실적"/>
      <sheetName val="뒤차축소"/>
      <sheetName val="82150-39000"/>
      <sheetName val="M1master"/>
      <sheetName val="RC"/>
      <sheetName val="Open"/>
      <sheetName val="FUEL_FILLER"/>
      <sheetName val="차체부품_INS_REPORT(갑)"/>
      <sheetName val="2_대외공문"/>
      <sheetName val="5_WIRE적용LIST"/>
      <sheetName val="제품목록"/>
      <sheetName val="작성양식"/>
      <sheetName val="단중표"/>
      <sheetName val="재료율"/>
      <sheetName val="참조영역"/>
      <sheetName val="영업"/>
      <sheetName val="RHD"/>
      <sheetName val="검구사양서"/>
      <sheetName val="액슬"/>
      <sheetName val="종합"/>
      <sheetName val="프레임"/>
      <sheetName val="설비"/>
      <sheetName val="DWPM"/>
      <sheetName val="계산DATA입력"/>
      <sheetName val="EQ"/>
      <sheetName val="97"/>
      <sheetName val="품의서"/>
      <sheetName val="F4-F7"/>
      <sheetName val="업종별"/>
      <sheetName val="신규DEP"/>
      <sheetName val="투자-국내2"/>
      <sheetName val="콤보"/>
      <sheetName val="운영실적(세부)"/>
      <sheetName val="품의예산"/>
      <sheetName val="대일산업"/>
      <sheetName val="그패프"/>
      <sheetName val="_납촉자"/>
      <sheetName val="3_일반사상"/>
      <sheetName val="등속"/>
      <sheetName val="효율계획(당월)"/>
      <sheetName val="J150 승인진도관리 LIST"/>
      <sheetName val="LIST"/>
      <sheetName val="TOTAL LIST"/>
      <sheetName val="EXP-COST"/>
      <sheetName val="지정공장"/>
      <sheetName val="서울정비"/>
      <sheetName val="전체실적"/>
      <sheetName val="Price Range"/>
      <sheetName val="FTR MACRo"/>
      <sheetName val="BRAKE"/>
      <sheetName val="원소재인상자료"/>
      <sheetName val="56"/>
      <sheetName val="customer"/>
      <sheetName val="_x0000_PRDW30.XL"/>
      <sheetName val="5_세운W-A"/>
      <sheetName val="PRESS DATA"/>
      <sheetName val="Lookups"/>
      <sheetName val="1ဲ_ALT1"/>
      <sheetName val="1ဳ_O_S1"/>
      <sheetName val="15_၄AMPER1"/>
      <sheetName val="二_POSITION_XLS1"/>
      <sheetName val="BACK_DATA_08_7_1~1"/>
      <sheetName val="E_W1"/>
      <sheetName val="P_W1"/>
      <sheetName val="S_W1"/>
      <sheetName val="BACK_DATA1"/>
      <sheetName val="OPT손익_내수1"/>
      <sheetName val="OPT손익_수출1"/>
      <sheetName val="외주현황_wq11"/>
      <sheetName val="2_대외공문1"/>
      <sheetName val="TEMP_TORQUE"/>
      <sheetName val="5_세운W-A1"/>
      <sheetName val="126_255"/>
      <sheetName val="B053_(990701)공정실적PP%계산"/>
      <sheetName val="14_1부"/>
      <sheetName val="CASE_ASM"/>
      <sheetName val="SUB_2월_재검사추이도"/>
      <sheetName val="팀별_합계"/>
      <sheetName val="JT3_0견적-구1"/>
      <sheetName val="1_변경범위"/>
      <sheetName val="개발_TOOL_집계표"/>
      <sheetName val="경상_개발비"/>
      <sheetName val="설비능력및_종합공정능력산출시_사용"/>
      <sheetName val="LX3_0_RR"/>
      <sheetName val="매출종합_`09"/>
      <sheetName val="c_db"/>
      <sheetName val="MACRO1_XLM"/>
      <sheetName val="PRDW30_XL"/>
      <sheetName val="PRESS_DATA"/>
      <sheetName val="실행"/>
      <sheetName val="LAMBDA 자작"/>
      <sheetName val="목록"/>
      <sheetName val="Nego PV"/>
      <sheetName val="검기갑지"/>
      <sheetName val="5월"/>
      <sheetName val="양식"/>
      <sheetName val="CSTHA616"/>
      <sheetName val="KMO"/>
      <sheetName val="생산일보(전체)"/>
      <sheetName val="RP변환코드"/>
      <sheetName val="운임.환차손-Y"/>
      <sheetName val="report_20"/>
      <sheetName val="camera_30"/>
      <sheetName val="소상 &quot;1&quot;"/>
      <sheetName val="금형품"/>
      <sheetName val="현재"/>
      <sheetName val="선반OPT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Book1"/>
      <sheetName val="기안"/>
      <sheetName val="지부전체"/>
      <sheetName val="COST관리"/>
      <sheetName val="조립지적"/>
      <sheetName val="내경"/>
      <sheetName val="경비공통"/>
      <sheetName val="월별손익"/>
      <sheetName val="변속"/>
      <sheetName val="050218"/>
      <sheetName val="시산표"/>
      <sheetName val="9-1차이내역"/>
      <sheetName val="구매실(원본)"/>
      <sheetName val="X-3 ENG"/>
      <sheetName val="Specification"/>
      <sheetName val="내수1.8GL"/>
      <sheetName val="Takt"/>
      <sheetName val="상용_mp"/>
      <sheetName val="운임_환차손-Y"/>
      <sheetName val="존4"/>
      <sheetName val="A-A"/>
      <sheetName val="R&amp;D"/>
      <sheetName val="전력시간대(합계)"/>
      <sheetName val="예산코드"/>
      <sheetName val="ML"/>
      <sheetName val="정산내역"/>
      <sheetName val="유효성"/>
      <sheetName val="4월채무증감"/>
      <sheetName val="재질단가"/>
      <sheetName val="악성"/>
      <sheetName val="ALPROFILE 발주실적"/>
      <sheetName val="요약"/>
      <sheetName val="CSP원자재"/>
      <sheetName val="국내품"/>
      <sheetName val="수입부품비"/>
      <sheetName val="조정명세서"/>
      <sheetName val="Evaluation objects"/>
      <sheetName val="Sheet3"/>
      <sheetName val="1-C,D"/>
      <sheetName val="DATAinput"/>
      <sheetName val="총list"/>
      <sheetName val="FACTOR"/>
      <sheetName val="예산실적전체당월"/>
      <sheetName val="712"/>
      <sheetName val="MOTO"/>
      <sheetName val="정미시간"/>
      <sheetName val="ppcarpet"/>
      <sheetName val="불량현상별END"/>
      <sheetName val="가공비(2)"/>
      <sheetName val="S13_관리계획서(체크시트)"/>
      <sheetName val="6월수불"/>
      <sheetName val="소요량분석(부자재)"/>
      <sheetName val="소요량분석(외주)"/>
      <sheetName val="발주"/>
      <sheetName val="07주차별실적"/>
      <sheetName val="ENG"/>
      <sheetName val="CONT"/>
      <sheetName val="금형비"/>
      <sheetName val="COND"/>
      <sheetName val="월생산"/>
      <sheetName val="TUBE시험성적서"/>
      <sheetName val="근태현황"/>
      <sheetName val="GK차체EO-CUT전"/>
      <sheetName val="전장"/>
      <sheetName val="공평7"/>
      <sheetName val="Grafikdaten"/>
      <sheetName val="득점현황"/>
      <sheetName val="주소(한문)"/>
      <sheetName val="99판매상세"/>
      <sheetName val="대차대조표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소상_&quot;1&quot;"/>
      <sheetName val="Nego_PV"/>
      <sheetName val="LAMBDA_자작"/>
      <sheetName val="Sheet1 (2)"/>
      <sheetName val="DATE"/>
      <sheetName val="Sheet5"/>
      <sheetName val="Sheet6 (3)"/>
      <sheetName val="판매종합"/>
      <sheetName val="유효"/>
      <sheetName val="3-2_귀책부서별_DT현황"/>
      <sheetName val="result0927"/>
      <sheetName val="대우자동차용역비"/>
      <sheetName val="PPK"/>
      <sheetName val="불출요청"/>
      <sheetName val="금액"/>
      <sheetName val="p2_1"/>
      <sheetName val=" SR3차원단위 (3)"/>
      <sheetName val="Rate data"/>
      <sheetName val="GK_XDBASE"/>
      <sheetName val="매각단가"/>
      <sheetName val="내용"/>
      <sheetName val="보고"/>
      <sheetName val="분석mast"/>
      <sheetName val="업무분장"/>
      <sheetName val="2공구산출내역"/>
      <sheetName val="계산 DATA 입력"/>
      <sheetName val="상세 계산 내역"/>
      <sheetName val="SANTAMO"/>
      <sheetName val="종합(LH)"/>
      <sheetName val="단가"/>
      <sheetName val="cv"/>
      <sheetName val="K55"/>
      <sheetName val="ORIGIN"/>
      <sheetName val="Sch7a (토요일)"/>
      <sheetName val="98종합"/>
      <sheetName val="PTR台손익"/>
      <sheetName val="resume"/>
      <sheetName val="GLOBAL PT NEW FORMAT OCT 2002"/>
      <sheetName val="RR저항Cp"/>
      <sheetName val="Dashboard"/>
      <sheetName val="MCT6"/>
      <sheetName val="재고자산명세(Y)"/>
      <sheetName val="ASSIGN"/>
      <sheetName val="제안그래프"/>
      <sheetName val="공정및생산관리절차서"/>
      <sheetName val="B"/>
      <sheetName val="대외공문 "/>
      <sheetName val="수주단가"/>
      <sheetName val="일괄인쇄"/>
      <sheetName val="Technology"/>
      <sheetName val="PP%계산-1"/>
      <sheetName val="금형991202"/>
      <sheetName val="건설성적"/>
      <sheetName val="이자율"/>
      <sheetName val="제품원재"/>
      <sheetName val="부재예실1월"/>
      <sheetName val="금강투자2000"/>
      <sheetName val="71336(R)"/>
      <sheetName val="일위대가(계측기설치)"/>
      <sheetName val="●현황"/>
      <sheetName val="●목차"/>
      <sheetName val="원가계산서"/>
      <sheetName val="PRO (참조)"/>
      <sheetName val="외주품 감점 유형 기준"/>
      <sheetName val="일일 업무 현황 (3)"/>
      <sheetName val="일일 업무 현황 (5)"/>
      <sheetName val="동명재고"/>
      <sheetName val="문서처리전"/>
      <sheetName val="간이연락"/>
      <sheetName val="_x0000__x0000__x0000__x0000_ilencer"/>
      <sheetName val="가공비"/>
      <sheetName val="기준입력"/>
      <sheetName val="생산품목"/>
      <sheetName val="실적"/>
      <sheetName val="시험연구비상각"/>
      <sheetName val="XREF"/>
      <sheetName val="0 절삭조건"/>
      <sheetName val="1월"/>
      <sheetName val="SAM"/>
      <sheetName val="발생집계"/>
      <sheetName val="3"/>
      <sheetName val="4"/>
      <sheetName val="5"/>
      <sheetName val="6"/>
      <sheetName val="7"/>
      <sheetName val="8"/>
      <sheetName val="9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포머 비가동 내역"/>
      <sheetName val="5311"/>
      <sheetName val="점검시트"/>
      <sheetName val="2-1"/>
      <sheetName val="내역서"/>
      <sheetName val="오정용선임"/>
      <sheetName val="건재양식"/>
      <sheetName val="DATA BASE"/>
      <sheetName val="업체등록"/>
      <sheetName val="자재입고"/>
      <sheetName val="자재출고"/>
      <sheetName val="제품등록"/>
      <sheetName val="총소요량"/>
      <sheetName val="현재고"/>
      <sheetName val="상품재고(97)"/>
      <sheetName val="내구품질향상1"/>
      <sheetName val="(평균)"/>
      <sheetName val="냉연"/>
      <sheetName val="W-현원가"/>
      <sheetName val="hp_td_calc"/>
      <sheetName val="6B008"/>
      <sheetName val="MPL 技連"/>
      <sheetName val="342E BLOCK"/>
      <sheetName val="DFMEA"/>
      <sheetName val="02 07 27 부품판매가"/>
      <sheetName val="총"/>
      <sheetName val="윤영환"/>
      <sheetName val="차체부품_INS_REPORT(갑)1"/>
      <sheetName val="FUEL_FILLER1"/>
      <sheetName val="5_WIRE적용LIST1"/>
      <sheetName val="3_일반사상1"/>
      <sheetName val="_납촉자1"/>
      <sheetName val="일일_업무_현황_(3)"/>
      <sheetName val="일일_업무_현황_(5)"/>
      <sheetName val="417CPK"/>
      <sheetName val="SS"/>
      <sheetName val="FRONT HUB견적가"/>
      <sheetName val="VS1 Paretto분석"/>
      <sheetName val="intro"/>
      <sheetName val="TABLE"/>
      <sheetName val="재료비"/>
      <sheetName val="기준"/>
      <sheetName val="협력사 일반현황"/>
      <sheetName val="생산현황 (입력)"/>
      <sheetName val="작업시간"/>
      <sheetName val="1.ER유체응용"/>
      <sheetName val="4.시험장비"/>
      <sheetName val="급여대장(기능직)"/>
      <sheetName val="1-1.General Code"/>
      <sheetName val="임율 &amp; LOT"/>
      <sheetName val="DataBase"/>
      <sheetName val="판매98"/>
      <sheetName val="GSTOTAL"/>
      <sheetName val="3-2_귀책부서별_DT현황1"/>
      <sheetName val="0_절삭조건"/>
      <sheetName val="Segments"/>
      <sheetName val="생산계획 (2)"/>
      <sheetName val="Type"/>
      <sheetName val="내장"/>
      <sheetName val="CR CODE"/>
      <sheetName val="부서CODE"/>
      <sheetName val="THEME CODE"/>
      <sheetName val="DAT_목표_"/>
      <sheetName val="지침"/>
      <sheetName val="MC&amp;다변화"/>
      <sheetName val="ROYALTY"/>
      <sheetName val="매입세율"/>
      <sheetName val="공사개요"/>
      <sheetName val="작업일보"/>
      <sheetName val="SHAFT"/>
      <sheetName val="검사성적서(갑)"/>
      <sheetName val="장적산출"/>
      <sheetName val="96PLAN"/>
      <sheetName val="채권(하반기)"/>
      <sheetName val="SPT"/>
      <sheetName val="자재단가"/>
      <sheetName val="NGS4"/>
      <sheetName val="공정별"/>
      <sheetName val="SPG생산"/>
      <sheetName val="일반관리비"/>
      <sheetName val="업체별 단가현황"/>
      <sheetName val="정비손익"/>
      <sheetName val="10-1"/>
      <sheetName val="P&amp;L,Bal Sheet,Cash Forecast"/>
      <sheetName val="비교원가제출.고"/>
      <sheetName val="중점과제-경비(제안)"/>
      <sheetName val="Basic assumptions"/>
      <sheetName val="98지급계획"/>
      <sheetName val="월간인력"/>
      <sheetName val="기타코드"/>
      <sheetName val="년령분석표(02년)"/>
      <sheetName val="지역별"/>
      <sheetName val="세부내용"/>
      <sheetName val="이름표모음"/>
      <sheetName val="MTK_사후"/>
      <sheetName val="94B"/>
      <sheetName val="원본(실제)"/>
      <sheetName val="#142-1-갑"/>
      <sheetName val="1.세부비교원가(내수)"/>
      <sheetName val="1.종합비교원가(내수_일반_유럽)"/>
      <sheetName val="TM1Variables"/>
      <sheetName val="손익계산서"/>
      <sheetName val="CF"/>
      <sheetName val="V64"/>
      <sheetName val="31323-4A005(PPK)"/>
      <sheetName val="회순"/>
      <sheetName val="작업장"/>
      <sheetName val="공통"/>
      <sheetName val="Budget"/>
      <sheetName val="사유코드"/>
      <sheetName val="자체실적1Q"/>
      <sheetName val="MPS Q3 FY04"/>
      <sheetName val="MPS Q4 FY04"/>
      <sheetName val="125PIECE"/>
      <sheetName val="BTS-시범물량"/>
      <sheetName val="시설투자"/>
      <sheetName val="소계정"/>
      <sheetName val="BND"/>
      <sheetName val="SPONGE단가"/>
      <sheetName val="시산9812"/>
      <sheetName val="R&amp;R(DATA)"/>
      <sheetName val="팀별종합"/>
      <sheetName val="검사협정서"/>
      <sheetName val="2002년판매실적"/>
      <sheetName val="03 PFD-1"/>
      <sheetName val="물산(양산)"/>
      <sheetName val="정공(양산)"/>
      <sheetName val="테크(양산)"/>
      <sheetName val="계열사현황종합"/>
      <sheetName val="인사자료총집계"/>
      <sheetName val="印刷補助"/>
      <sheetName val="P&amp;L"/>
      <sheetName val="출장거리"/>
      <sheetName val="수출"/>
      <sheetName val="계획수량"/>
      <sheetName val="ENG油洩れ"/>
      <sheetName val="15-COMP"/>
      <sheetName val="측정-1"/>
      <sheetName val="6C007(A)"/>
      <sheetName val="생산소모품"/>
      <sheetName val="일일 생산및판매계획 대 실적"/>
      <sheetName val="물품관리"/>
      <sheetName val="업체관리"/>
      <sheetName val="12.Inv."/>
      <sheetName val="주요재료비"/>
      <sheetName val="97년 재료예산(안)"/>
      <sheetName val="추산서총괄"/>
      <sheetName val="1.터빈"/>
      <sheetName val="HEAD"/>
      <sheetName val="SYS검토(1A1)"/>
      <sheetName val="13-1-2"/>
      <sheetName val="_x005f_x0000__x005f_x0000__x005f_x0000__x005f_x0000_ile"/>
      <sheetName val="설계일정"/>
      <sheetName val="가2"/>
      <sheetName val="승인1팀"/>
      <sheetName val="2. Definitions"/>
      <sheetName val="대표자"/>
      <sheetName val="단가MSTR"/>
      <sheetName val="11년단가"/>
      <sheetName val="생산직"/>
      <sheetName val="1월~3월"/>
      <sheetName val="4월~6월"/>
      <sheetName val="7-9월"/>
      <sheetName val="10월~12월"/>
      <sheetName val="첨부6)CAPA분석표"/>
      <sheetName val="공평3"/>
      <sheetName val="공문"/>
      <sheetName val="총론"/>
      <sheetName val="리드14"/>
      <sheetName val="규칙"/>
      <sheetName val="상세"/>
      <sheetName val="연구인원내역"/>
      <sheetName val="주E95711"/>
      <sheetName val="상불"/>
      <sheetName val="master"/>
      <sheetName val="76210원가"/>
      <sheetName val="품명_자재코드"/>
      <sheetName val="코드 조건표"/>
      <sheetName val="코드_조건표"/>
      <sheetName val="MPL_技連"/>
      <sheetName val="342E_BLOCK"/>
      <sheetName val="송전기본"/>
      <sheetName val="협력사_일반현황"/>
      <sheetName val="금형_(2)"/>
      <sheetName val="오음명부"/>
      <sheetName val="CSC"/>
      <sheetName val="경비"/>
      <sheetName val="HMC 사전원가(원혁기준)13%"/>
      <sheetName val="1차명단"/>
      <sheetName val="2차 OIL량측정"/>
      <sheetName val="지점장"/>
      <sheetName val="총괄표"/>
      <sheetName val="LX3_0_RR1"/>
      <sheetName val="포머_비가동_내역"/>
      <sheetName val="Evaluation_objects"/>
      <sheetName val="FRONT_HUB견적가"/>
      <sheetName val="VS1_Paretto분석"/>
      <sheetName val="FLOW PROSES (A)"/>
      <sheetName val="세부견적"/>
      <sheetName val="VPP(BD-010) 이상보고"/>
      <sheetName val="인원수계산"/>
      <sheetName val="이름"/>
      <sheetName val="장비 전체리스트"/>
      <sheetName val="장비리스트"/>
      <sheetName val="재품별 단가"/>
      <sheetName val="세계수요종합OK"/>
      <sheetName val="중점과제별관리도"/>
      <sheetName val="BAFFLE HMC TABLE1"/>
      <sheetName val="Calculation"/>
      <sheetName val="production dept"/>
      <sheetName val="System"/>
      <sheetName val="6.수입검사 "/>
      <sheetName val="Hilfstabellen"/>
      <sheetName val="cost base e dati"/>
      <sheetName val="변수"/>
      <sheetName val="회사정보"/>
      <sheetName val="테이블"/>
      <sheetName val="대표경력"/>
      <sheetName val="Data Sheet"/>
      <sheetName val="INDIA-ML"/>
      <sheetName val="91"/>
      <sheetName val="전체지분도"/>
      <sheetName val="안산"/>
      <sheetName val="천안"/>
      <sheetName val="PB내역"/>
      <sheetName val="회사제시"/>
      <sheetName val="期別全体表"/>
      <sheetName val="Sensitivity"/>
      <sheetName val="Sheet13"/>
      <sheetName val="?????"/>
      <sheetName val=" "/>
      <sheetName val="완성차"/>
      <sheetName val="FAB별"/>
      <sheetName val="기준계정"/>
      <sheetName val="코드"/>
      <sheetName val="komentár"/>
      <sheetName val="집중검사 리스트"/>
      <sheetName val="10.예산 및 원가 계획(02년)"/>
      <sheetName val="입고단가기준"/>
      <sheetName val="일반급여"/>
      <sheetName val="협력업체"/>
      <sheetName val="TOP_trans"/>
      <sheetName val="C_Pnl원가1"/>
      <sheetName val="DB"/>
      <sheetName val="F4"/>
      <sheetName val="예상효과"/>
      <sheetName val="실행내역서 "/>
      <sheetName val="상각율표"/>
      <sheetName val="개발 LIST"/>
      <sheetName val="프레스"/>
      <sheetName val="등록의뢰"/>
      <sheetName val="공정별CR"/>
      <sheetName val="000000"/>
      <sheetName val="WBS98"/>
      <sheetName val="관로공표지"/>
      <sheetName val="Danh sach Hàn thùng"/>
      <sheetName val="1_TM2"/>
      <sheetName val="Mẫu DMVT"/>
      <sheetName val="Mẫu DMVT (2)"/>
      <sheetName val="BUS"/>
      <sheetName val="LOAIXE"/>
      <sheetName val="Nguon PT xetai"/>
      <sheetName val="NGUON"/>
      <sheetName val="Nguon PT xe Ben"/>
      <sheetName val="Bien so"/>
      <sheetName val="DM KHAU HA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THƯ VIỆN"/>
      <sheetName val="근태일지"/>
      <sheetName val="연습"/>
      <sheetName val="업체별매출실적"/>
      <sheetName val="기본정보"/>
      <sheetName val="초기화면"/>
      <sheetName val="제품정보"/>
      <sheetName val="금형표지"/>
      <sheetName val="INVESTMENT (Hardware)"/>
      <sheetName val="인원"/>
      <sheetName val="DBL LPG시험"/>
      <sheetName val="ISRDATA"/>
      <sheetName val="목표대비실적(R)"/>
      <sheetName val="99예산"/>
      <sheetName val="PPS2"/>
      <sheetName val="材料"/>
      <sheetName val="SPA원가"/>
      <sheetName val="인건비"/>
      <sheetName val="종합BDATA"/>
      <sheetName val="적하보험"/>
      <sheetName val="옹벽1"/>
      <sheetName val="영업.일1"/>
      <sheetName val="품-(주)코①"/>
      <sheetName val="적용수량"/>
      <sheetName val="자재소요"/>
      <sheetName val="판매계획"/>
      <sheetName val="ALL"/>
      <sheetName val="EurotoolsXRates"/>
      <sheetName val="PFMEA.XLS"/>
      <sheetName val="Cpk3"/>
      <sheetName val="Cost_Reduction"/>
      <sheetName val="INVESTMENT_(Hardware)"/>
      <sheetName val="거래처"/>
      <sheetName val="Config"/>
      <sheetName val="#93"/>
      <sheetName val="STEEL95"/>
      <sheetName val="Sheet6_(3)"/>
      <sheetName val="을"/>
      <sheetName val="도표"/>
      <sheetName val="세목별"/>
      <sheetName val="계정"/>
      <sheetName val="2008 г"/>
      <sheetName val="LL"/>
      <sheetName val="조서목차"/>
      <sheetName val="감가상각"/>
      <sheetName val="가격품의"/>
      <sheetName val="월매출"/>
      <sheetName val="M96현황-동아"/>
      <sheetName val="PILOT품"/>
      <sheetName val="금형품의서"/>
      <sheetName val="RELAY FAX양식"/>
      <sheetName val="상세 견적서 (HMC)"/>
      <sheetName val="Summary"/>
      <sheetName val="2.중요한회계정책"/>
      <sheetName val="9.관계기업투자"/>
      <sheetName val="42.리스"/>
      <sheetName val="25.법인세"/>
      <sheetName val="COKBOM"/>
      <sheetName val="ﾀｰﾋﾞﾝﾃﾞｰﾀ"/>
      <sheetName val="File_Table"/>
      <sheetName val="Production Plan1"/>
      <sheetName val="Proj List 00E"/>
      <sheetName val="부재료"/>
      <sheetName val="6 N.m CCW 전류"/>
      <sheetName val="DS-Thuong 6T dau"/>
      <sheetName val="5300"/>
      <sheetName val="단기차입금(200006)"/>
      <sheetName val="영업외"/>
      <sheetName val="1.1 2008 OTIF"/>
      <sheetName val="▶사출"/>
      <sheetName val="▶R_C FRM"/>
      <sheetName val="동성세부내역"/>
      <sheetName val="차체 품안표"/>
      <sheetName val="주요재무비율"/>
      <sheetName val="PNL ASS'Y CRASH PAD UPR RH"/>
      <sheetName val="CHINO검량선"/>
      <sheetName val="재고정확2"/>
      <sheetName val="수정시산표"/>
      <sheetName val="TEMP1"/>
      <sheetName val="A1"/>
      <sheetName val="S50 "/>
      <sheetName val="여비"/>
      <sheetName val="TABLE(KR)"/>
      <sheetName val="생산실적"/>
      <sheetName val="PC%계산(WM.COMM단차)"/>
      <sheetName val="급여대장(입력용)"/>
      <sheetName val="설비LIST"/>
      <sheetName val="매출"/>
      <sheetName val="무부하 회전수"/>
      <sheetName val="END"/>
      <sheetName val="1~3월 지시사항"/>
      <sheetName val="소유주(원)"/>
      <sheetName val="인원01"/>
      <sheetName val="1.POSITIONING"/>
      <sheetName val="사양정리"/>
      <sheetName val="Value Analysis - Sheet 1"/>
      <sheetName val="84531"/>
      <sheetName val="lot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차체부품_INS_REPORT(갑)2"/>
      <sheetName val="2_대외공문2"/>
      <sheetName val="외주현황_wq12"/>
      <sheetName val="FUEL_FILLER2"/>
      <sheetName val="3_일반사상2"/>
      <sheetName val="5_WIRE적용LIST2"/>
      <sheetName val="진행_DATA_(2)2"/>
      <sheetName val="3-2_귀책부서별_DT현황2"/>
      <sheetName val="_납촉자2"/>
      <sheetName val="LX3_0_RR2"/>
      <sheetName val="SUB_2월_재검사추이도1"/>
      <sheetName val="JT3_0견적-구11"/>
      <sheetName val="c_db1"/>
      <sheetName val="B053_(990701)공정실적PP%계산1"/>
      <sheetName val="일일_업무_현황_(3)1"/>
      <sheetName val="일일_업무_현황_(5)1"/>
      <sheetName val="CR_CODE"/>
      <sheetName val="THEME_CODE"/>
      <sheetName val="0_절삭조건1"/>
      <sheetName val="1_세부비교원가(내수)"/>
      <sheetName val="J150_승인진도관리_LIST"/>
      <sheetName val="TOTAL_LIST"/>
      <sheetName val="Price_Range"/>
      <sheetName val="FTR_MACRo"/>
      <sheetName val="1_종합비교원가(내수_일반_유럽)"/>
      <sheetName val="금형_(2)1"/>
      <sheetName val="VS1_Paretto분석1"/>
      <sheetName val="임율_&amp;_LOT"/>
      <sheetName val="MPL_技連1"/>
      <sheetName val="342E_BLOCK1"/>
      <sheetName val="생산현황_(입력)"/>
      <sheetName val="포머_비가동_내역1"/>
      <sheetName val="1_ER유체응용"/>
      <sheetName val="4_시험장비"/>
      <sheetName val="협력사_일반현황1"/>
      <sheetName val="상세_계산_내역"/>
      <sheetName val="생산계획_(2)"/>
      <sheetName val="DATA_BASE"/>
      <sheetName val="Evaluation_objects1"/>
      <sheetName val="FRONT_HUB견적가1"/>
      <sheetName val="1-1_General_Code"/>
      <sheetName val="TEMP_TORQUE1"/>
      <sheetName val="1_변경범위1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내수1_8GL"/>
      <sheetName val="업체별_단가현황"/>
      <sheetName val="비교원가제출_고"/>
      <sheetName val="Basic_assumptions"/>
      <sheetName val="운임_환차손-Y1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항목"/>
      <sheetName val="부동산세금"/>
      <sheetName val="국영"/>
      <sheetName val="TEAM하반기 계획 (2)"/>
      <sheetName val="96연구소인건비"/>
      <sheetName val="KURSER"/>
      <sheetName val="업체리스트"/>
      <sheetName val="거래처관리"/>
      <sheetName val="ﾊﾟｲﾌﾟ"/>
      <sheetName val="冷延鋼板"/>
      <sheetName val="熱延鋼板"/>
      <sheetName val="他材料費"/>
      <sheetName val="印刷"/>
      <sheetName val="条件表"/>
      <sheetName val="02-2W"/>
      <sheetName val="별제권_정리담보권"/>
      <sheetName val="ﾏｽﾀ"/>
      <sheetName val="견적마법사"/>
      <sheetName val="전처리"/>
      <sheetName val="Option"/>
      <sheetName val="Upgrades pricing"/>
      <sheetName val="7.3 DY팀"/>
      <sheetName val="5-Why Root Cause Analysis "/>
      <sheetName val="#REF!"/>
      <sheetName val="조정내역"/>
      <sheetName val="주간업무(개발구매팀)"/>
      <sheetName val="Cover"/>
      <sheetName val="포트외경(A)"/>
      <sheetName val="2001Org"/>
      <sheetName val="일보"/>
      <sheetName val="BSL"/>
      <sheetName val="진행중 설변"/>
      <sheetName val="96수표어음"/>
      <sheetName val="실적관리"/>
      <sheetName val="Financials"/>
      <sheetName val="Yield"/>
      <sheetName val="산출기준(파견전산실)"/>
      <sheetName val="품목"/>
      <sheetName val="수입명세서"/>
      <sheetName val="계산program"/>
      <sheetName val="impianti"/>
      <sheetName val="출력-생산일보"/>
      <sheetName val="품목표"/>
      <sheetName val="Moulding data"/>
      <sheetName val="Volumes"/>
      <sheetName val="SCP 4"/>
      <sheetName val="SCP 5 D2UXT"/>
      <sheetName val="SCP 6 D2UX"/>
      <sheetName val="Invest (MAC)"/>
      <sheetName val="SCP Apr2015"/>
      <sheetName val="HOLE 9905(1)"/>
      <sheetName val="VXX"/>
      <sheetName val="."/>
      <sheetName val="공정능력(마운틴 홀 거리)"/>
      <sheetName val="양식_샘플"/>
      <sheetName val="8월3주"/>
      <sheetName val="Questionnaire"/>
      <sheetName val="2-1.제품군별계획대비실적(B.A)"/>
      <sheetName val="f3"/>
      <sheetName val="0105"/>
      <sheetName val="0505"/>
      <sheetName val="그래프"/>
      <sheetName val="공사원가계산서"/>
      <sheetName val="Summary Sheet"/>
      <sheetName val="Datasheet for KPI Model 1"/>
      <sheetName val="만년달력"/>
      <sheetName val="휴일"/>
      <sheetName val="LINE_VENT"/>
      <sheetName val="OEM 이의제기 종합"/>
      <sheetName val="신공항A-9(원가수정)"/>
      <sheetName val="감독1130"/>
      <sheetName val="RECIMAKE"/>
      <sheetName val="6월재고2"/>
      <sheetName val="광주 소요량"/>
      <sheetName val="2월"/>
      <sheetName val="조립"/>
      <sheetName val="신규"/>
      <sheetName val="_x0000__x0000__x0000__x0000_ile"/>
      <sheetName val="XMA 12월 8,000대 원,부자재_完"/>
      <sheetName val="YFA 10월분 원자재(10.12)_미납완료_完"/>
      <sheetName val="YFA 10월분 부자재(10.7,9)_FEDEX_完"/>
      <sheetName val="HD1070(T)"/>
      <sheetName val="980710"/>
      <sheetName val="9703"/>
      <sheetName val="원재료불량"/>
      <sheetName val="sapactivexlhiddensheet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(1)"/>
      <sheetName val="공정능력 (2)"/>
      <sheetName val="cpk data"/>
      <sheetName val="Tubelists"/>
      <sheetName val="표준"/>
      <sheetName val="설비사양서B-1"/>
      <sheetName val="full (2)"/>
      <sheetName val="Master Cable"/>
      <sheetName val="Supplement2"/>
      <sheetName val="SMXEXPS"/>
      <sheetName val="기초데이타"/>
      <sheetName val="ROLL"/>
      <sheetName val="95MAKER"/>
      <sheetName val="GAGE R&amp;R(FRT UPR)"/>
      <sheetName val="사업소별9812"/>
      <sheetName val="10년11월이월현황"/>
      <sheetName val="중공업 실적"/>
      <sheetName val="16-1531"/>
      <sheetName val=" 하반기 경비 조정계획_150627(사계 r2 기준).x"/>
      <sheetName val="치공구"/>
      <sheetName val="판가반영"/>
      <sheetName val="so-021"/>
      <sheetName val="선재"/>
      <sheetName val="????ilencer"/>
      <sheetName val="생산실적입력"/>
      <sheetName val="법인세부담액"/>
      <sheetName val="등록자료"/>
      <sheetName val="입력정보"/>
      <sheetName val="여신보고용"/>
      <sheetName val="서진단가"/>
      <sheetName val="기아계획"/>
      <sheetName val="A"/>
      <sheetName val="스풀능력"/>
      <sheetName val="노무비"/>
      <sheetName val="매출이익(실적)"/>
      <sheetName val="9609추"/>
      <sheetName val="국산화"/>
      <sheetName val="0.CHMSL LED ASSY"/>
      <sheetName val="변환테이블"/>
      <sheetName val="불량 리스트"/>
      <sheetName val="불량 코드"/>
      <sheetName val="현금흐름표"/>
      <sheetName val="그림목록"/>
      <sheetName val="침탄데이타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1.세부비교_x001b__x0000__x0000_㣪洁ᚦ"/>
      <sheetName val="목차"/>
      <sheetName val="82351"/>
      <sheetName val="6_수입검사_"/>
      <sheetName val="12_Inv_"/>
      <sheetName val="97년_재료예산(안)"/>
      <sheetName val="1_터빈"/>
      <sheetName val="cost_base_e_dati"/>
      <sheetName val="_"/>
      <sheetName val="집중검사_리스트"/>
      <sheetName val="10_예산_및_원가_계획(02년)"/>
      <sheetName val="실행내역서_"/>
      <sheetName val="개발_LIST"/>
      <sheetName val="Data_Sheet"/>
      <sheetName val="BAFFLE_HMC_TABLE1"/>
      <sheetName val="Value_Analysis_-_Sheet_1"/>
      <sheetName val="PC%계산(WM_COMM단차)"/>
      <sheetName val="차체_품안표"/>
      <sheetName val="1_1_2008_OTIF"/>
      <sheetName val="1~3월_지시사항"/>
      <sheetName val="1_POSITIONING"/>
      <sheetName val="production_dept"/>
      <sheetName val="51700-C2100(이의제기)"/>
      <sheetName val="BS"/>
      <sheetName val="TB"/>
      <sheetName val="부서별3월"/>
      <sheetName val="HeaderInfo"/>
      <sheetName val="J100"/>
      <sheetName val="RFQ Template"/>
      <sheetName val="科目余额表"/>
      <sheetName val="정비사업장별전망"/>
      <sheetName val="부품목표"/>
      <sheetName val="부평"/>
      <sheetName val="분당"/>
      <sheetName val="평촌"/>
      <sheetName val="승인율"/>
      <sheetName val="3월말 장기악성(국내)"/>
      <sheetName val="2월말 장기악성(국내)"/>
      <sheetName val="3월"/>
      <sheetName val="Dossier_Cdc"/>
      <sheetName val="DFMEA-DRBFM"/>
      <sheetName val="95WBS"/>
      <sheetName val="재발방지대책서"/>
      <sheetName val="YOKE-H(10.3)"/>
      <sheetName val="분석"/>
      <sheetName val="TABLE DB"/>
      <sheetName val="쌍용 data base"/>
      <sheetName val="본부재고"/>
      <sheetName val="VERTICAL PIPE"/>
      <sheetName val="2쪽"/>
      <sheetName val="Sum"/>
      <sheetName val="LIDE"/>
      <sheetName val="광주재료"/>
      <sheetName val="소요단량"/>
      <sheetName val="2과 공수집계"/>
      <sheetName val="2000"/>
      <sheetName val="LS"/>
      <sheetName val="첨부5"/>
      <sheetName val="5-2"/>
      <sheetName val="_____"/>
      <sheetName val="무부하_회전수"/>
      <sheetName val="진행중_설변"/>
      <sheetName val="HOLE_9905(1)"/>
      <sheetName val="Production_Plan1"/>
      <sheetName val="생산계획"/>
      <sheetName val="108.수선비"/>
      <sheetName val="8기전사사업계획"/>
      <sheetName val="36기상반기자금실적"/>
      <sheetName val="X3"/>
      <sheetName val="업체정보"/>
      <sheetName val="07DATA"/>
      <sheetName val="WJ素材費"/>
      <sheetName val="품의서양식 (3)"/>
      <sheetName val="예상투자비"/>
      <sheetName val="조선용암면"/>
      <sheetName val="매출DATA"/>
      <sheetName val="종합장"/>
      <sheetName val="集計ﾘｽﾄ"/>
      <sheetName val="원가분석"/>
      <sheetName val="법인(환율지정)"/>
      <sheetName val="_x005f_x005f_x005f_x0000__x005f_x005f_x005f_x0000__x005"/>
      <sheetName val="1. 보고"/>
      <sheetName val="수지타입(ASSY)"/>
      <sheetName val="Asset98-CAK"/>
      <sheetName val="이체비용포함2"/>
      <sheetName val="이체비용포함"/>
      <sheetName val="PNL_ASS'Y_CRASH_PAD_UPR_RH"/>
      <sheetName val="Input Page"/>
      <sheetName val="Input Sheet"/>
      <sheetName val="Aug01 Status Rpt"/>
      <sheetName val="현금및현금등가물"/>
      <sheetName val="Base Info"/>
      <sheetName val="ISSUE LIST"/>
      <sheetName val="자료"/>
      <sheetName val="Assumption"/>
      <sheetName val="직원명부"/>
      <sheetName val="ALVXXL01"/>
      <sheetName val="철심금중량"/>
      <sheetName val="PC%계산DWMC"/>
      <sheetName val="구매내역"/>
      <sheetName val="생산실적db"/>
      <sheetName val="데이터"/>
      <sheetName val="비교원RD-S"/>
      <sheetName val="철판2"/>
      <sheetName val="년도별"/>
      <sheetName val="수출가격"/>
      <sheetName val="원가계산서양식"/>
      <sheetName val="TA10"/>
      <sheetName val="미익SUB"/>
      <sheetName val="3사분기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분기별데이타"/>
      <sheetName val="월별데이타"/>
      <sheetName val="HSA"/>
      <sheetName val="전산DATA"/>
      <sheetName val="TEL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Bosch ADVP&amp;R"/>
      <sheetName val="551"/>
      <sheetName val="집계표(VAN)"/>
      <sheetName val="TWIST"/>
      <sheetName val="양식(주)"/>
      <sheetName val="PQ분석2"/>
      <sheetName val="PQ분석3"/>
      <sheetName val="PQ분석1"/>
      <sheetName val="투자승인절차"/>
      <sheetName val="광주"/>
      <sheetName val="Bas Moteur"/>
      <sheetName val="Hab2"/>
      <sheetName val="Hab1"/>
      <sheetName val="출금계획"/>
      <sheetName val="GB-IC_Villingen_GG2"/>
      <sheetName val="1_2내수2"/>
      <sheetName val="Cost_Reduction1"/>
      <sheetName val="매출종합_`091"/>
      <sheetName val="PFMEA_XLS"/>
      <sheetName val="신고서_전"/>
      <sheetName val="Sheet6_(3)1"/>
      <sheetName val="영업_일1"/>
      <sheetName val="RELAY_FAX양식"/>
      <sheetName val="상세_견적서_(HMC)"/>
      <sheetName val="INVESTMENT_(Hardware)1"/>
      <sheetName val="2008_г"/>
      <sheetName val="2_중요한회계정책"/>
      <sheetName val="9_관계기업투자"/>
      <sheetName val="42_리스"/>
      <sheetName val="25_법인세"/>
      <sheetName val="_PPAP_작성중__xlsx"/>
      <sheetName val="Proj_List_00E"/>
      <sheetName val="Bosch_ADVP&amp;R"/>
      <sheetName val="DBL_LPG시험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_2내수3"/>
      <sheetName val="진행_DATA_(2)3"/>
      <sheetName val="GB-IC_Villingen_GG3"/>
      <sheetName val="Cost_Reduction2"/>
      <sheetName val="PFMEA_XLS1"/>
      <sheetName val="매출종합_`092"/>
      <sheetName val="신고서_전1"/>
      <sheetName val="Basic_assumptions1"/>
      <sheetName val="二_POSITION_XLS2"/>
      <sheetName val="1ဲ_ALT2"/>
      <sheetName val="1ဳ_O_S2"/>
      <sheetName val="15_၄AMPER2"/>
      <sheetName val="BACK_DATA_08_7_1~2"/>
      <sheetName val="E_W2"/>
      <sheetName val="P_W2"/>
      <sheetName val="S_W2"/>
      <sheetName val="OPT손익_내수2"/>
      <sheetName val="OPT손익_수출2"/>
      <sheetName val="BACK_DATA2"/>
      <sheetName val="126_2551"/>
      <sheetName val="CASE_ASM1"/>
      <sheetName val="14_1부1"/>
      <sheetName val="Drop-down Lists"/>
      <sheetName val="incetive"/>
      <sheetName val="생산(전장입력)-1"/>
      <sheetName val="GLOBAL PT NEW FORMAT JULY  2002"/>
      <sheetName val="PAKAGE4362"/>
      <sheetName val="WS"/>
      <sheetName val="인원부하"/>
      <sheetName val="C100"/>
      <sheetName val="02년 SUC"/>
      <sheetName val="초등학교내역서"/>
      <sheetName val="기준코드"/>
      <sheetName val="업체별"/>
      <sheetName val="MexiqueVentes97"/>
      <sheetName val="2012 Volum"/>
      <sheetName val="첨부2"/>
      <sheetName val="공장코드"/>
      <sheetName val="거래선"/>
      <sheetName val="완성차물량"/>
      <sheetName val="Part_no"/>
      <sheetName val="PARAMETRES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CFLOW"/>
      <sheetName val="업무담당"/>
      <sheetName val="B053 (990701)공정능력PC%계산"/>
      <sheetName val="OP12037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첨부⑥"/>
      <sheetName val="CAPA분석 360K"/>
      <sheetName val="금관"/>
      <sheetName val="백화"/>
      <sheetName val="작동logic"/>
      <sheetName val="원단위 전후비교"/>
      <sheetName val="EF-SONATA"/>
      <sheetName val="투입공수계획"/>
      <sheetName val="월간생산계획"/>
      <sheetName val="최신"/>
      <sheetName val="SFM-TTL"/>
      <sheetName val="수h"/>
      <sheetName val="Purchasing Data"/>
      <sheetName val="실적 및 계획"/>
      <sheetName val="한성화물"/>
      <sheetName val="소결재공"/>
      <sheetName val="판매수량"/>
      <sheetName val="종목코드"/>
      <sheetName val="3. 관리점지수실적-1.1생산성"/>
      <sheetName val="Sec 1 - RFQ"/>
      <sheetName val="ERP도입후 시정현황"/>
      <sheetName val="Sheet6"/>
      <sheetName val="销售计划"/>
      <sheetName val="Headcount"/>
      <sheetName val="Sales_LT"/>
      <sheetName val="승용"/>
      <sheetName val="공정능력평가-2"/>
      <sheetName val="공정능력평가-3"/>
      <sheetName val="외관검사"/>
      <sheetName val="1-1-1-2"/>
      <sheetName val="Sheet10"/>
      <sheetName val="pri"/>
      <sheetName val="외주업체"/>
      <sheetName val="임시12월"/>
      <sheetName val="생산_P"/>
      <sheetName val="Graph"/>
      <sheetName val="97입고현황(사내)"/>
      <sheetName val="97출고현황(SEC)"/>
      <sheetName val="97출고현황(매출분)"/>
      <sheetName val="첨부3"/>
      <sheetName val="3M000"/>
      <sheetName val="물량표"/>
      <sheetName val="10년01월부터"/>
      <sheetName val="예적금"/>
      <sheetName val="세무서코드"/>
      <sheetName val="D300726_1"/>
      <sheetName val="3월판매예상_2주차"/>
      <sheetName val="_0602주-무결점운동 진행현황 보고 (20140610)"/>
      <sheetName val="업무분장 "/>
      <sheetName val="FELT"/>
      <sheetName val="내년"/>
      <sheetName val="DV Flow Chart DV-PV1 (PFC)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사업소득자세수추계"/>
      <sheetName val="DATA(1-8)"/>
      <sheetName val="1부생산계획"/>
      <sheetName val="이자수입"/>
      <sheetName val="사외외주매출"/>
      <sheetName val="20일시험전표지"/>
      <sheetName val="FRONT"/>
      <sheetName val="REAR "/>
      <sheetName val="FR저항Cp"/>
      <sheetName val="abs dac검사대비분석자료2"/>
      <sheetName val="RFQ Form"/>
      <sheetName val="00년거래처별실적"/>
      <sheetName val="재고품목"/>
      <sheetName val="CPK_CHART"/>
      <sheetName val="pl2k12"/>
      <sheetName val="DOM-競合車SPEC"/>
      <sheetName val="출입자명단"/>
      <sheetName val="ｴｱﾃﾞｨｽｸ"/>
      <sheetName val="평가표"/>
      <sheetName val="FMEAPRO3"/>
      <sheetName val="담당"/>
      <sheetName val="생산2부(COL'M,U_J)"/>
      <sheetName val="BOM"/>
      <sheetName val="산업판매입력"/>
      <sheetName val="3.PT개발계획"/>
      <sheetName val="예정임율"/>
      <sheetName val="Y3-LIST"/>
      <sheetName val="PPK(공정능력조사표)"/>
      <sheetName val="N719(NC)"/>
      <sheetName val="Interco &amp; PVS Loc Cur"/>
      <sheetName val="실적(Q11)"/>
      <sheetName val="예산(Q11)"/>
      <sheetName val="자가2급"/>
      <sheetName val="해외생산"/>
      <sheetName val="내역"/>
      <sheetName val="FO원단위"/>
      <sheetName val="Sheet16"/>
      <sheetName val="TRANSLAT"/>
      <sheetName val="21444-41900"/>
      <sheetName val="원가절감"/>
      <sheetName val="별도관리"/>
      <sheetName val="SOURCE"/>
      <sheetName val="공수"/>
      <sheetName val="3620SE"/>
      <sheetName val="공정별공법-W.HSE-LH"/>
      <sheetName val="효성"/>
      <sheetName val="자체실적Y"/>
      <sheetName val="과제"/>
      <sheetName val="Sales"/>
      <sheetName val="c.db1"/>
      <sheetName val="1st"/>
      <sheetName val="고객불만 건"/>
      <sheetName val="와이어"/>
      <sheetName val="제품명 (3)"/>
      <sheetName val="MethodC"/>
      <sheetName val="JUNY"/>
      <sheetName val="본사-출장소구분"/>
      <sheetName val="생산일보"/>
      <sheetName val="품목테이블"/>
      <sheetName val="ref"/>
      <sheetName val="전사"/>
      <sheetName val="진급관련DATA"/>
      <sheetName val="소상_&quot;1&quot;1"/>
      <sheetName val="예금미수이자(6월)"/>
      <sheetName val="TL PROTO 2열"/>
      <sheetName val="참조코드현황"/>
      <sheetName val="10-1소요"/>
      <sheetName val="목표세부명세"/>
      <sheetName val="99원가원판"/>
      <sheetName val="기안지"/>
      <sheetName val="应收帐款"/>
      <sheetName val="대지급(한미)"/>
      <sheetName val="전장품(관리용)"/>
      <sheetName val="2선재"/>
      <sheetName val="094_APP別"/>
      <sheetName val="현장"/>
      <sheetName val="변제"/>
      <sheetName val="10월11일"/>
      <sheetName val="설비능력및_종합공정능력산출시_사용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팀별_합계1"/>
      <sheetName val="Nego_PV1"/>
      <sheetName val="LAMBDA_자작1"/>
      <sheetName val="SPEC1"/>
      <sheetName val="INDEX"/>
      <sheetName val="공용라이온-2"/>
      <sheetName val="GM Master"/>
      <sheetName val="97계획(96.11"/>
      <sheetName val="재공품기초자료"/>
      <sheetName val="퇴충수정"/>
      <sheetName val="Validation Lists"/>
      <sheetName val="参照条件"/>
      <sheetName val="참고"/>
      <sheetName val="CR금액"/>
      <sheetName val="OEM Plan"/>
      <sheetName val="SO416"/>
      <sheetName val="구매사양"/>
      <sheetName val="ALPROFILE_발주실적"/>
      <sheetName val="Basic"/>
      <sheetName val="DIEZEL動弁相場"/>
      <sheetName val="4.3 첨부1"/>
      <sheetName val="5호기_Query"/>
      <sheetName val="사업경"/>
      <sheetName val="기본정보입력"/>
      <sheetName val="세부자료"/>
      <sheetName val="투자예산"/>
      <sheetName val="원가기초정보"/>
      <sheetName val="산정표"/>
      <sheetName val="영업인계"/>
      <sheetName val="재공재고"/>
      <sheetName val="포장현황"/>
      <sheetName val="분류"/>
      <sheetName val="계실5-1"/>
      <sheetName val="工程信息"/>
      <sheetName val="초기공정능력"/>
      <sheetName val="불량코드"/>
      <sheetName val="MC%계산"/>
      <sheetName val="※목록"/>
      <sheetName val="공정능력"/>
      <sheetName val="구분자료"/>
      <sheetName val="검사협정 보충"/>
      <sheetName val="Supplier QRQC"/>
      <sheetName val="발주서"/>
      <sheetName val="X-3_ENG"/>
      <sheetName val="Sheet1_(2)"/>
      <sheetName val="Sch7a_(토요일)"/>
      <sheetName val="GLOBAL_PT_NEW_FORMAT_OCT_2002"/>
      <sheetName val="대외공문_"/>
      <sheetName val="5_세운W-A2"/>
      <sheetName val="PRESS_DATA1"/>
      <sheetName val="X-3_ENG1"/>
      <sheetName val="1ဲ_ALT3"/>
      <sheetName val="1ဳ_O_S3"/>
      <sheetName val="15_၄AMPER3"/>
      <sheetName val="BACK_DATA_08_7_1~3"/>
      <sheetName val="E_W3"/>
      <sheetName val="P_W3"/>
      <sheetName val="S_W3"/>
      <sheetName val="二_POSITION_XLS3"/>
      <sheetName val="OPT손익_내수3"/>
      <sheetName val="OPT손익_수출3"/>
      <sheetName val="BACK_DATA3"/>
      <sheetName val="외주현황_wq13"/>
      <sheetName val="2_대외공문3"/>
      <sheetName val="TEMP_TORQUE2"/>
      <sheetName val="5_세운W-A3"/>
      <sheetName val="126_2552"/>
      <sheetName val="B053_(990701)공정실적PP%계산2"/>
      <sheetName val="CASE_ASM2"/>
      <sheetName val="14_1부2"/>
      <sheetName val="1_변경범위2"/>
      <sheetName val="JT3_0견적-구12"/>
      <sheetName val="PRESS_DATA2"/>
      <sheetName val="SUB_2월_재검사추이도2"/>
      <sheetName val="c_db2"/>
      <sheetName val="설비능력및_종합공정능력산출시_사용2"/>
      <sheetName val="소상_&quot;1&quot;2"/>
      <sheetName val="팀별_합계2"/>
      <sheetName val="운임_환차손-Y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내수1_8GL1"/>
      <sheetName val="외주품_감점_유형_기준"/>
      <sheetName val="PRO_(참조)"/>
      <sheetName val="Master_Cable"/>
      <sheetName val="CAPA분석_360K"/>
      <sheetName val="실적_및_계획"/>
      <sheetName val="공정능력_(2)"/>
      <sheetName val="3__관리점지수실적-1_1생산성"/>
      <sheetName val="Sec_1_-_RFQ"/>
      <sheetName val="02년_SUC"/>
      <sheetName val="Rate_data"/>
      <sheetName val="원단위_전후비교"/>
      <sheetName val="_SR3차원단위_(3)"/>
      <sheetName val="공정별공법-W_HSE-LH"/>
      <sheetName val="73711"/>
      <sheetName val="설계명세"/>
      <sheetName val="PS SIDE OTR INR 공정개선 상세"/>
      <sheetName val="비가동-20"/>
      <sheetName val="영업용가격대"/>
      <sheetName val="노동부"/>
      <sheetName val="첨부#1(SRC)"/>
      <sheetName val="1.기안을지"/>
      <sheetName val="PROFILE"/>
      <sheetName val="콤비품의-3"/>
      <sheetName val="분석DATA(년도별)"/>
      <sheetName val="09년 현황"/>
      <sheetName val="CNC810M"/>
      <sheetName val="원가절감종합"/>
      <sheetName val="WTC BODY一覧原紙"/>
      <sheetName val="국고채권3-5"/>
      <sheetName val="가동일보"/>
      <sheetName val="5사남"/>
      <sheetName val="BOX ASSY"/>
      <sheetName val="After sales"/>
      <sheetName val="CAR Form Summary"/>
      <sheetName val="첨부4.기술평가서"/>
      <sheetName val="LOCKUP"/>
      <sheetName val="54813M2001"/>
      <sheetName val="Personnaliser..."/>
      <sheetName val="Takt Time"/>
      <sheetName val="시설이용권명세서"/>
      <sheetName val="특정현금과예금"/>
      <sheetName val="99정부과제종합"/>
      <sheetName val="Data입력"/>
      <sheetName val="기계(1998~2003년)작업본"/>
      <sheetName val="기계(2004년)작업본"/>
      <sheetName val="입력laser"/>
      <sheetName val="25414-B2060"/>
      <sheetName val="項目定義"/>
      <sheetName val="양식-금형"/>
      <sheetName val="1.2.2완제품검사('00.4월) (가라)"/>
      <sheetName val="cr2000분석"/>
      <sheetName val="64512(갑)"/>
      <sheetName val="경영재무 (입력)"/>
      <sheetName val="연구개발 (입력)"/>
      <sheetName val="일반현황 (입력)"/>
      <sheetName val="품질관리 (입력)"/>
      <sheetName val="Data Input"/>
      <sheetName val="건축내역"/>
      <sheetName val="평가"/>
      <sheetName val="별제권_정리담보권1"/>
      <sheetName val="금형이력"/>
      <sheetName val="설계내역서"/>
      <sheetName val="종합표"/>
      <sheetName val="FO-BO-ER"/>
      <sheetName val="INJ_FRT"/>
      <sheetName val="3.3검토국"/>
      <sheetName val="출고현황"/>
      <sheetName val="오퍼(DS)"/>
      <sheetName val="6월(DS)"/>
      <sheetName val="물량표S"/>
      <sheetName val="PAINT"/>
      <sheetName val="실행내역"/>
      <sheetName val="4월"/>
      <sheetName val="비용구조"/>
      <sheetName val="피엘"/>
      <sheetName val="Issues List"/>
      <sheetName val="Appendix_TT"/>
      <sheetName val="(2)월생산현황 "/>
      <sheetName val="LINE PPM-분석"/>
      <sheetName val="현장관리비"/>
      <sheetName val="수불부"/>
      <sheetName val="Actual data"/>
      <sheetName val="기준정보"/>
      <sheetName val="불량건수"/>
      <sheetName val="외주집계"/>
      <sheetName val="배부기준"/>
      <sheetName val="원가 종합"/>
      <sheetName val="SM672-001(A)"/>
      <sheetName val="3)재료비"/>
      <sheetName val="CPk원본"/>
      <sheetName val="GYOKAK2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J2(P.MT)"/>
      <sheetName val="1.세부비교_x001b_"/>
      <sheetName val="종합현황"/>
      <sheetName val="신청현황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라이온2"/>
      <sheetName val="공통비"/>
      <sheetName val="기간별품목별불량유형집계"/>
      <sheetName val="96원가"/>
      <sheetName val="4.Vendor price"/>
      <sheetName val="14년 증판안 판촉"/>
      <sheetName val="14,15,16"/>
      <sheetName val="RSDB"/>
      <sheetName val="WSDB"/>
      <sheetName val="Europe PU-1"/>
      <sheetName val="MM利益・原価企画方針書ｶｸ１"/>
      <sheetName val="PMBG12LD 장비및인원소요(D.A기준) "/>
      <sheetName val="basic_info"/>
      <sheetName val="10매출"/>
      <sheetName val="은행"/>
      <sheetName val="TEMP2"/>
      <sheetName val="PIVOT"/>
      <sheetName val="표준(재질단가,조형단가)"/>
      <sheetName val="표준(중자)"/>
      <sheetName val="기본데이타"/>
      <sheetName val="2WD(KJ5G0662)"/>
      <sheetName val="MAT_N048"/>
      <sheetName val="구분목록"/>
      <sheetName val="사원관리"/>
      <sheetName val="조정"/>
      <sheetName val="NEW TOOL MASTER"/>
      <sheetName val="stockmonthlylist(stock_20190828"/>
      <sheetName val="DWPM분석시트"/>
      <sheetName val="매출(총액)"/>
      <sheetName val="판관비"/>
      <sheetName val="3-2002년 소모공구비"/>
      <sheetName val="数据库不可删除"/>
      <sheetName val="WE'T"/>
      <sheetName val="BREAKDOWN(철거설치)"/>
      <sheetName val="6월"/>
      <sheetName val="1.TAT_Info."/>
      <sheetName val="STD_DEVCHARTadd"/>
      <sheetName val="재품명"/>
      <sheetName val="불량명"/>
      <sheetName val="효과금액비교"/>
      <sheetName val="1.TP조립"/>
      <sheetName val="기타 부자재"/>
      <sheetName val="분리막"/>
      <sheetName val="전해액"/>
      <sheetName val="4.20)통계적기법관리절차서"/>
      <sheetName val="주E957㲆"/>
      <sheetName val="주E957㲆"/>
      <sheetName val="설비LIS_x0000_"/>
      <sheetName val="설비LIS_x0001_"/>
      <sheetName val="설비LIS"/>
      <sheetName val="개발원가 종합"/>
      <sheetName val="Raw_data"/>
      <sheetName val="SALE분석"/>
      <sheetName val="체재비"/>
      <sheetName val="월간단가"/>
      <sheetName val="Sheet"/>
      <sheetName val="5업체"/>
      <sheetName val="갑지"/>
      <sheetName val="１１月"/>
      <sheetName val="MS.SPEC"/>
      <sheetName val="SP"/>
      <sheetName val="재(실)"/>
      <sheetName val="인도원가"/>
      <sheetName val="PL"/>
      <sheetName val="BI-FUEL AIR VENT PIPE"/>
      <sheetName val="매입자료1"/>
      <sheetName val="Actual In &amp; Out"/>
      <sheetName val="차액보증"/>
      <sheetName val="1.종합평가표"/>
      <sheetName val="RFQ 1804"/>
      <sheetName val="운영"/>
      <sheetName val="DS_MBR RR Side  - PcA"/>
      <sheetName val="SRC(현재)"/>
      <sheetName val="차체부품_INS_REPORT(갑)3"/>
      <sheetName val="FUEL_FILLER3"/>
      <sheetName val="5_WIRE적용LIST3"/>
      <sheetName val="_납촉자3"/>
      <sheetName val="3_일반사상3"/>
      <sheetName val="금형_(2)2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SUB_2월_재검사추이도3"/>
      <sheetName val="JT3_0견적-구13"/>
      <sheetName val="c_db3"/>
      <sheetName val="금형_(2)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J150_승인진도관리_LIST2"/>
      <sheetName val="TOTAL_LIST2"/>
      <sheetName val="Price_Range2"/>
      <sheetName val="FTR_MACRo2"/>
      <sheetName val="협력사_일반현황2"/>
      <sheetName val="0_절삭조건2"/>
      <sheetName val="상세_계산_내역2"/>
      <sheetName val="MPL_技連2"/>
      <sheetName val="342E_BLOCK2"/>
      <sheetName val="1-1_General_Code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J150_승인진도관리_LIST1"/>
      <sheetName val="TOTAL_LIST1"/>
      <sheetName val="Price_Range1"/>
      <sheetName val="FTR_MACRo1"/>
      <sheetName val="상세_계산_내역1"/>
      <sheetName val="지점분석00"/>
      <sheetName val="Dual PMP수율"/>
      <sheetName val="业体目录"/>
      <sheetName val="LJM"/>
      <sheetName val="Full PBD"/>
      <sheetName val="첨부13. 사출(PAD)_카메라"/>
      <sheetName val="설비LIS"/>
      <sheetName val="Group Consolidat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 refreshError="1"/>
      <sheetData sheetId="855" refreshError="1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/>
      <sheetData sheetId="1770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/>
      <sheetData sheetId="1839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T3.0견적-구1"/>
      <sheetName val="full (2)"/>
      <sheetName val="Production Plan1"/>
      <sheetName val="Cost Reduction"/>
      <sheetName val="월별영외"/>
      <sheetName val="6월"/>
      <sheetName val="간이연락"/>
      <sheetName val="INPUT"/>
      <sheetName val="Open"/>
      <sheetName val="P_1"/>
      <sheetName val="P_2"/>
      <sheetName val="P_3"/>
      <sheetName val="P_4"/>
      <sheetName val="P_5"/>
      <sheetName val="P_6"/>
      <sheetName val="CAR"/>
      <sheetName val="MOTO"/>
      <sheetName val="GB-IC Villingen GG"/>
      <sheetName val="JT3.0??-?1"/>
      <sheetName val="DOMEVARL"/>
      <sheetName val="CAUDIT"/>
      <sheetName val="AcctNo"/>
      <sheetName val="NEWLRP"/>
      <sheetName val="#REF"/>
      <sheetName val="S P"/>
      <sheetName val="Costed BOM 2ndR 40%"/>
      <sheetName val="JT3.0__-_1"/>
      <sheetName val="R Prgr Fin Data"/>
      <sheetName val="544NPZEV 858N QAPP"/>
      <sheetName val="KNOB"/>
      <sheetName val="Administrative"/>
      <sheetName val="Volume Flex"/>
      <sheetName val="Macro1"/>
      <sheetName val="PTR台손익"/>
      <sheetName val="PRO (참조)"/>
      <sheetName val="재료비"/>
      <sheetName val="공통"/>
      <sheetName val="외주현황.wq1"/>
      <sheetName val="Pwrchk SHEET"/>
      <sheetName val="상세 계산 내역"/>
      <sheetName val="재질단가"/>
      <sheetName val="Assumption"/>
      <sheetName val="N719(NC)"/>
      <sheetName val="JT3_0견적-구1"/>
      <sheetName val="Production_Plan1"/>
      <sheetName val="full_(2)"/>
      <sheetName val="JT3_0??-?1"/>
      <sheetName val="Cost_Reduction"/>
      <sheetName val="Assump &amp; Issues FY07 pg2 "/>
      <sheetName val="by plant"/>
      <sheetName val="Instructions"/>
      <sheetName val="PACT"/>
      <sheetName val="CPX_JIT_RS"/>
      <sheetName val="2.대외공문"/>
      <sheetName val="계산정보"/>
      <sheetName val="DATA"/>
      <sheetName val="진행 DATA (2)"/>
      <sheetName val="일반경비"/>
      <sheetName val="Data(Don't del)"/>
      <sheetName val="NI Input"/>
      <sheetName val="RDLEVLST"/>
      <sheetName val="WEIGHT"/>
      <sheetName val="31321-26000"/>
      <sheetName val="JT3_0__-_1"/>
      <sheetName val="FUEL FILLER"/>
      <sheetName val="M1master"/>
      <sheetName val="Rejects PPM"/>
      <sheetName val="(9차)(화염양면라미)_CLOTH"/>
      <sheetName val="가2"/>
      <sheetName val="Gen"/>
      <sheetName val="WCF, SG&amp;A"/>
      <sheetName val="TOTAL"/>
      <sheetName val="MH_생산"/>
      <sheetName val="ORG_ID"/>
      <sheetName val="Debt"/>
      <sheetName val="BUS제원1"/>
      <sheetName val="본부별팀별9911"/>
      <sheetName val="0K2JT40501"/>
      <sheetName val="1차계산"/>
      <sheetName val="진행 DATA ㌨敮g"/>
      <sheetName val=""/>
      <sheetName val="▶메카"/>
      <sheetName val="Driver"/>
      <sheetName val="수리결과"/>
      <sheetName val="삼양통상 (검사)"/>
      <sheetName val="A-A"/>
      <sheetName val="3.일반사상"/>
      <sheetName val="Auto Sales"/>
      <sheetName val="Input Sheet"/>
      <sheetName val="CASE ASM"/>
      <sheetName val="System"/>
      <sheetName val="Asset9809CAK"/>
      <sheetName val="표지"/>
      <sheetName val="Asmp"/>
      <sheetName val="AEJ_NET"/>
      <sheetName val="대외공문"/>
      <sheetName val="TCA"/>
      <sheetName val="CFLOW"/>
      <sheetName val="건설가"/>
      <sheetName val="요인분석"/>
      <sheetName val="매출"/>
      <sheetName val="코드3(판관비계정)"/>
      <sheetName val="5.WIRE적용LIST"/>
      <sheetName val="2. Definitions"/>
      <sheetName val="Sheet1"/>
      <sheetName val="126.255"/>
      <sheetName val="전체현황"/>
      <sheetName val="Notes Rec Retrieve"/>
      <sheetName val="3M000"/>
      <sheetName val="DW9911301"/>
      <sheetName val="MM利益・原価企画方針書ｶｸ１"/>
      <sheetName val="X11EglobalV5"/>
      <sheetName val="global"/>
      <sheetName val="Process Cost"/>
      <sheetName val="Ford"/>
      <sheetName val="CPX_JIT_FS"/>
      <sheetName val="BOM TOP"/>
      <sheetName val="Titel"/>
      <sheetName val="Hyp"/>
      <sheetName val="Glcost"/>
      <sheetName val="B-BRKT"/>
      <sheetName val="1.2내수"/>
      <sheetName val="메카(우보접수자료 기준)"/>
      <sheetName val="내수1.8GL"/>
      <sheetName val="BASIC"/>
      <sheetName val="계산DATA입력"/>
      <sheetName val="설계내역서"/>
      <sheetName val="▶FR_LSUPT PWR"/>
      <sheetName val="Y3-LIST"/>
      <sheetName val="CALENDAR"/>
      <sheetName val="Sheet5"/>
      <sheetName val="Sheet6 (3)"/>
      <sheetName val="TWIST"/>
      <sheetName val="단가"/>
      <sheetName val="cv"/>
      <sheetName val="626TD"/>
      <sheetName val="61 210 289"/>
      <sheetName val="5)운반비(현재)"/>
      <sheetName val="집계표"/>
      <sheetName val="첨부2)부재료비"/>
      <sheetName val="종합"/>
      <sheetName val="금형비"/>
      <sheetName val="카메라"/>
      <sheetName val="JT3_0견적-구11"/>
      <sheetName val="full_(2)1"/>
      <sheetName val="Production_Plan11"/>
      <sheetName val="Cost_Reduction1"/>
      <sheetName val="GB-IC_Villingen_GG"/>
      <sheetName val="JT3_0??-?11"/>
      <sheetName val="S_P"/>
      <sheetName val="Costed_BOM_2ndR_40%"/>
      <sheetName val="JT3_0__-_11"/>
      <sheetName val="R_Prgr_Fin_Data"/>
      <sheetName val="544NPZEV_858N_QAPP"/>
      <sheetName val="Volume_Flex"/>
      <sheetName val="PRO_(참조)"/>
      <sheetName val="외주현황_wq1"/>
      <sheetName val="Pwrchk_SHEET"/>
      <sheetName val="상세_계산_내역"/>
      <sheetName val="Assump_&amp;_Issues_FY07_pg2_"/>
      <sheetName val="by_plant"/>
      <sheetName val="2_대외공문"/>
      <sheetName val="진행_DATA_(2)"/>
      <sheetName val="Data(Don't_del)"/>
      <sheetName val="NI_Input"/>
      <sheetName val="FUEL_FILLER"/>
      <sheetName val="Rejects_PPM"/>
      <sheetName val="WCF,_SG&amp;A"/>
      <sheetName val="진행_DATA_㌨敮g"/>
      <sheetName val="삼양통상_(검사)"/>
      <sheetName val="3_일반사상"/>
      <sheetName val="Auto_Sales"/>
      <sheetName val="Input_Sheet"/>
      <sheetName val="CASE_ASM"/>
      <sheetName val="5_WIRE적용LIST"/>
      <sheetName val="2__Definitions"/>
      <sheetName val="PC%계산"/>
      <sheetName val="손익분석"/>
      <sheetName val="TEMP TORQUE"/>
      <sheetName val="MA"/>
      <sheetName val="CÔNG"/>
      <sheetName val="계산 DATA 입력"/>
      <sheetName val="Notes_Rec_Retrieve"/>
      <sheetName val="TEMP_TORQUE"/>
      <sheetName val="수출"/>
      <sheetName val="11"/>
      <sheetName val="Sheet18"/>
      <sheetName val="소유주(원)"/>
      <sheetName val="주소(한문)"/>
      <sheetName val="협조전"/>
      <sheetName val="협력사 일반현황"/>
      <sheetName val="단표준"/>
      <sheetName val="THVT"/>
      <sheetName val="RD제품개발투자비(매가)"/>
      <sheetName val="변환"/>
      <sheetName val="Sheet2"/>
      <sheetName val="COVER"/>
      <sheetName val="StationDroplist_FS"/>
      <sheetName val="StationDroplist_RB"/>
      <sheetName val="StationDroplist_RC"/>
      <sheetName val="StationDroplist_SUB"/>
      <sheetName val="Summary"/>
      <sheetName val="PARAMETRES"/>
      <sheetName val="Visor"/>
      <sheetName val="GM change"/>
      <sheetName val="Lv1"/>
      <sheetName val="Fcst Conv Cost"/>
      <sheetName val="Fcst EQU"/>
      <sheetName val="Fcst Var"/>
      <sheetName val="JUNFOR Conv Cost"/>
      <sheetName val="Junfor EQU"/>
      <sheetName val="Junfor Var"/>
      <sheetName val="NYPLAN Conv Cost"/>
      <sheetName val="NYPLAN Conv Cost 2009"/>
      <sheetName val="NYPLAN EQU"/>
      <sheetName val="NYPLAN EQU 2009"/>
      <sheetName val="NYPLAN Var"/>
      <sheetName val="NYPLAN Var 2009"/>
      <sheetName val="2006 EQU"/>
      <sheetName val="YTD Data"/>
      <sheetName val="進捗管理表(技術課)KT028"/>
      <sheetName val="재료"/>
      <sheetName val="견적MASTER"/>
      <sheetName val="구동"/>
      <sheetName val="KD율"/>
      <sheetName val="직원신상"/>
      <sheetName val="전문품의"/>
      <sheetName val="Chart"/>
      <sheetName val="시산표"/>
      <sheetName val="LCAUTO.4"/>
      <sheetName val="LCAT수.조"/>
      <sheetName val="RHN"/>
      <sheetName val="PP%계산"/>
      <sheetName val="94B"/>
      <sheetName val="계약"/>
      <sheetName val="CD-실적"/>
      <sheetName val="Pln Pdt"/>
      <sheetName val="채권(하반기)"/>
      <sheetName val="CVT산정"/>
      <sheetName val="OPT손익 내수"/>
      <sheetName val="OPT손익 수출"/>
      <sheetName val="ETRS"/>
      <sheetName val="ﾕｰｻﾞｰ設定"/>
      <sheetName val="After Sales Supplier #'s"/>
      <sheetName val="発注書"/>
      <sheetName val="대비"/>
      <sheetName val="장기재료비개선 집계표"/>
      <sheetName val="Manual Inputs"/>
      <sheetName val="Sheet80"/>
      <sheetName val="SO SÁNH GIÁ"/>
      <sheetName val="KHUON GC MOI"/>
      <sheetName val="KHUON SUA-DHR"/>
      <sheetName val="VAT TU"/>
      <sheetName val="ma khuon do dang"/>
      <sheetName val="KH TCHINH"/>
      <sheetName val="Sheet3"/>
      <sheetName val="Sheet6"/>
      <sheetName val="Sheet7"/>
      <sheetName val="Sheet8"/>
      <sheetName val="Sheet9"/>
      <sheetName val="Sheet10"/>
      <sheetName val="Sheet11"/>
      <sheetName val="TONG HOP GIA"/>
      <sheetName val="TONG HOP NHAN CONG"/>
      <sheetName val="KE HOACH KINH DOANH"/>
      <sheetName val="CAU TRUC GIA"/>
      <sheetName val="EDM-TONG TG GIA CONG"/>
      <sheetName val="PHAY-TONG TG GC"/>
      <sheetName val="TG GD TREN EDM VA GRAPHITE"/>
      <sheetName val="SAN LUONG KHUON QUY DOI"/>
      <sheetName val="HIEU QUA DAU TU"/>
      <sheetName val="bảng kê thiet bị"/>
      <sheetName val="BANG KE VAT TU DAT MUA VÀ GC"/>
      <sheetName val="Sheet4"/>
      <sheetName val="배서어음명세서"/>
      <sheetName val="월별생산"/>
      <sheetName val="기계장치"/>
      <sheetName val="추가예산"/>
      <sheetName val="KG 일반용 원사"/>
      <sheetName val="TABLE(KR)"/>
      <sheetName val="CST염조제예산"/>
      <sheetName val="Tbom-tot"/>
      <sheetName val="W-현원가"/>
      <sheetName val="CODE LIST"/>
      <sheetName val="bom_EVAP"/>
      <sheetName val="choices"/>
      <sheetName val="LOF"/>
      <sheetName val="resultat"/>
      <sheetName val="(ROUTING)"/>
      <sheetName val="NO.1"/>
      <sheetName val="Tabelle1"/>
      <sheetName val="TABLE"/>
      <sheetName val="EurotoolsXRates"/>
      <sheetName val="Header"/>
      <sheetName val="Tables"/>
      <sheetName val="Definiciones"/>
      <sheetName val="Validaciones"/>
      <sheetName val="2-2.매출분석"/>
      <sheetName val="Ⅲ-1.판매편성방향"/>
      <sheetName val="엔진조립"/>
      <sheetName val="추이도"/>
      <sheetName val="부품기본정보입력"/>
      <sheetName val="첨부5"/>
      <sheetName val="code"/>
      <sheetName val="Federal Taxable Income"/>
      <sheetName val="환율반영"/>
      <sheetName val="평가자13"/>
      <sheetName val="교육계획"/>
      <sheetName val="SOURCE"/>
      <sheetName val="공수"/>
      <sheetName val="dtxl"/>
      <sheetName val="VAR DAC"/>
      <sheetName val="p2-1"/>
      <sheetName val=";"/>
      <sheetName val="PACKING SLIP"/>
      <sheetName val="square1"/>
      <sheetName val="Process_Cost"/>
      <sheetName val="BOM_TOP"/>
      <sheetName val="集計結果"/>
      <sheetName val="MexiqueVentes97"/>
      <sheetName val="JINKYU"/>
      <sheetName val="車体構成"/>
      <sheetName val="比모듈조립비"/>
      <sheetName val="VT원단위"/>
      <sheetName val="General info"/>
      <sheetName val="기초자료"/>
      <sheetName val="수정시산표"/>
      <sheetName val="MA MAY"/>
      <sheetName val="3차안(원)"/>
      <sheetName val="은행"/>
      <sheetName val="Sheet 0"/>
      <sheetName val="Dictionary"/>
      <sheetName val="MPL 技連"/>
      <sheetName val="342E BLOCK"/>
      <sheetName val="시장"/>
      <sheetName val="DA"/>
      <sheetName val="프레스"/>
      <sheetName val="TI"/>
      <sheetName val="가공"/>
      <sheetName val="목록"/>
      <sheetName val="BBP_eng"/>
      <sheetName val="BBP_tm"/>
      <sheetName val="MM"/>
      <sheetName val="GRACE"/>
      <sheetName val="동아합의"/>
      <sheetName val="GM_change"/>
      <sheetName val="Fcst_Conv_Cost"/>
      <sheetName val="Fcst_EQU"/>
      <sheetName val="Fcst_Var"/>
      <sheetName val="JUNFOR_Conv_Cost"/>
      <sheetName val="Junfor_EQU"/>
      <sheetName val="Junfor_Var"/>
      <sheetName val="NYPLAN_Conv_Cost"/>
      <sheetName val="NYPLAN_Conv_Cost_2009"/>
      <sheetName val="NYPLAN_EQU"/>
      <sheetName val="NYPLAN_EQU_2009"/>
      <sheetName val="NYPLAN_Var"/>
      <sheetName val="NYPLAN_Var_2009"/>
      <sheetName val="2006_EQU"/>
      <sheetName val="YTD_Data"/>
      <sheetName val="Federal_Taxable_Income"/>
      <sheetName val="Service Parts Rejects (RPPM)"/>
      <sheetName val="General"/>
      <sheetName val="Volume"/>
      <sheetName val="ER&amp;D"/>
      <sheetName val="SDT"/>
      <sheetName val="AMORT Cost"/>
      <sheetName val="Do not print- input"/>
      <sheetName val="CLOTH"/>
      <sheetName val="DATAinput"/>
      <sheetName val="기안지"/>
      <sheetName val="Iran REP05-07"/>
      <sheetName val="DNW"/>
      <sheetName val="내역서"/>
      <sheetName val="품-(주)코①"/>
      <sheetName val="Assumptions"/>
      <sheetName val="Eingabe"/>
      <sheetName val="BDM창고운영비"/>
      <sheetName val="BDm창고운영비(신규창고)"/>
      <sheetName val="계산서"/>
      <sheetName val="경영계획"/>
      <sheetName val="사양비교"/>
      <sheetName val="Fan_Motor(가공비)"/>
      <sheetName val="#93"/>
      <sheetName val="M-LIST국민"/>
      <sheetName val="5.2010년도_신제품 개발계획(1)"/>
      <sheetName val="JT3_0견적-구12"/>
      <sheetName val="Balance Sht"/>
      <sheetName val="Drop down menus"/>
      <sheetName val="Production_Plan12"/>
      <sheetName val="full_(2)2"/>
      <sheetName val="Cost_Reduction2"/>
      <sheetName val="진행_DATA_(2)1"/>
      <sheetName val="JT3_0??-?12"/>
      <sheetName val="GB-IC_Villingen_GG1"/>
      <sheetName val="S_P1"/>
      <sheetName val="Costed_BOM_2ndR_40%1"/>
      <sheetName val="JT3_0__-_12"/>
      <sheetName val="R_Prgr_Fin_Data1"/>
      <sheetName val="544NPZEV_858N_QAPP1"/>
      <sheetName val="Volume_Flex1"/>
      <sheetName val="Data(Don't_del)1"/>
      <sheetName val="61_210_289"/>
      <sheetName val="Pwrchk_SHEET1"/>
      <sheetName val="상세_계산_내역1"/>
      <sheetName val="PRO_(참조)1"/>
      <sheetName val="외주현황_wq11"/>
      <sheetName val="Assump_&amp;_Issues_FY07_pg2_1"/>
      <sheetName val="by_plant1"/>
      <sheetName val="FUEL_FILLER1"/>
      <sheetName val="Rejects_PPM1"/>
      <sheetName val="2_대외공문1"/>
      <sheetName val="1_2내수"/>
      <sheetName val="NI_Input1"/>
      <sheetName val="WCF,_SG&amp;A1"/>
      <sheetName val="3_일반사상1"/>
      <sheetName val="삼양통상_(검사)1"/>
      <sheetName val="Input_Sheet1"/>
      <sheetName val="진행_DATA_㌨敮g1"/>
      <sheetName val="Auto_Sales1"/>
      <sheetName val="CASE_ASM1"/>
      <sheetName val="5_WIRE적용LIST1"/>
      <sheetName val="Sheet6_(3)"/>
      <sheetName val="메카(우보접수자료_기준)"/>
      <sheetName val="Notes_Rec_Retrieve1"/>
      <sheetName val="126_255"/>
      <sheetName val="내수1_8GL"/>
      <sheetName val="▶FR_LSUPT_PWR"/>
      <sheetName val="계산_DATA_입력"/>
      <sheetName val="TEMP_TORQUE1"/>
      <sheetName val="협력사_일반현황"/>
      <sheetName val="Lists and Info"/>
      <sheetName val="CurrentData"/>
      <sheetName val="주재료비"/>
      <sheetName val="재1"/>
      <sheetName val="vale-heat"/>
      <sheetName val="200704"/>
      <sheetName val="OH"/>
      <sheetName val="세부월별수량"/>
      <sheetName val="G"/>
      <sheetName val="MC&amp;다변화"/>
      <sheetName val="설계원가"/>
      <sheetName val="FY04-06 Spend"/>
      <sheetName val="Workdays"/>
      <sheetName val="Budget Rates"/>
      <sheetName val="Data List"/>
      <sheetName val="cover_org"/>
      <sheetName val="Europe PU-1"/>
      <sheetName val="DATA_DELIVERY"/>
      <sheetName val="DATA_HEAD"/>
      <sheetName val="MASTER"/>
      <sheetName val="#REF!"/>
      <sheetName val="構成情報シート"/>
      <sheetName val="HYO"/>
      <sheetName val="Sales"/>
      <sheetName val="Master Updated(517)"/>
      <sheetName val="PP_Letter 389N"/>
      <sheetName val="Parts Requiring Orders"/>
      <sheetName val="Fx Rates"/>
      <sheetName val="차수"/>
      <sheetName val="Claim이력_내수내자"/>
      <sheetName val="KMCWD"/>
      <sheetName val="ppcarpet"/>
      <sheetName val="PRESS DATA"/>
      <sheetName val="폼관조직"/>
      <sheetName val="TTA_Master_2009_03_23"/>
      <sheetName val="DATE"/>
      <sheetName val="품의서"/>
      <sheetName val="가공비DATA"/>
      <sheetName val="재료비DATA"/>
      <sheetName val="Feuil1"/>
      <sheetName val="T. DE C."/>
      <sheetName val="조립비(VIL SO)"/>
      <sheetName val="gia vt,nc,may"/>
      <sheetName val="조견표"/>
      <sheetName val="QA4 MASTER LIST"/>
      <sheetName val="GK차체EO-CUT전"/>
      <sheetName val="incomestatementA"/>
      <sheetName val="Sheet28"/>
      <sheetName val="Sheet29"/>
      <sheetName val="GF"/>
      <sheetName val="2"/>
      <sheetName val="เงินกู้ธนชาติ"/>
      <sheetName val="MARGIN FORECASTS"/>
      <sheetName val="REVENUE FORECASTS"/>
      <sheetName val="Eng.A5 h-Breakd.Des."/>
      <sheetName val="Roadmap"/>
      <sheetName val="Process_Cost1"/>
      <sheetName val="BOM_TOP1"/>
      <sheetName val="OPT손익_내수"/>
      <sheetName val="OPT손익_수출"/>
      <sheetName val="LCAUTO_4"/>
      <sheetName val="LCAT수_조"/>
      <sheetName val="Pln_Pdt"/>
      <sheetName val="장기재료비개선_집계표"/>
      <sheetName val="After_Sales_Supplier_#'s"/>
      <sheetName val="KG_일반용_원사"/>
      <sheetName val="Manual_Inputs"/>
      <sheetName val="NO_1"/>
      <sheetName val="2-2_매출분석"/>
      <sheetName val="Ⅲ-1_판매편성방향"/>
      <sheetName val="CODE_LIST"/>
      <sheetName val="VAR_DAC"/>
      <sheetName val="General_info"/>
      <sheetName val="PACKING_SLIP"/>
      <sheetName val="상용_mp"/>
      <sheetName val="DOOR"/>
      <sheetName val="인원계획"/>
      <sheetName val="J100"/>
      <sheetName val="Lookups"/>
      <sheetName val="Corporate"/>
      <sheetName val="REQUEST"/>
      <sheetName val="원가"/>
      <sheetName val="노무"/>
      <sheetName val="扶手"/>
      <sheetName val="power with massage"/>
      <sheetName val="GM_change1"/>
      <sheetName val="Fcst_Conv_Cost1"/>
      <sheetName val="Fcst_EQU1"/>
      <sheetName val="Fcst_Var1"/>
      <sheetName val="JUNFOR_Conv_Cost1"/>
      <sheetName val="Junfor_EQU1"/>
      <sheetName val="Junfor_Var1"/>
      <sheetName val="NYPLAN_Conv_Cost1"/>
      <sheetName val="NYPLAN_Conv_Cost_20091"/>
      <sheetName val="NYPLAN_EQU1"/>
      <sheetName val="NYPLAN_EQU_20091"/>
      <sheetName val="NYPLAN_Var1"/>
      <sheetName val="NYPLAN_Var_20091"/>
      <sheetName val="2006_EQU1"/>
      <sheetName val="YTD_Data1"/>
      <sheetName val="Federal_Taxable_Income1"/>
      <sheetName val="Eng_A5_h-Breakd_Des_"/>
      <sheetName val="Sheet_0"/>
      <sheetName val="MPL_技連"/>
      <sheetName val="342E_BLOCK"/>
      <sheetName val="Service_Parts_Rejects_(RPPM)"/>
      <sheetName val="AMORT_Cost"/>
      <sheetName val="Do_not_print-_input"/>
      <sheetName val="JT3_0견적-구14"/>
      <sheetName val="Production_Plan14"/>
      <sheetName val="full_(2)4"/>
      <sheetName val="JT3_0??-?14"/>
      <sheetName val="Cost_Reduction4"/>
      <sheetName val="Assump_&amp;_Issues_FY07_pg2_3"/>
      <sheetName val="R_Prgr_Fin_Data3"/>
      <sheetName val="S_P3"/>
      <sheetName val="JT3_0__-_14"/>
      <sheetName val="Volume_Flex3"/>
      <sheetName val="Costed_BOM_2ndR_40%3"/>
      <sheetName val="GB-IC_Villingen_GG3"/>
      <sheetName val="by_plant3"/>
      <sheetName val="WCF,_SG&amp;A3"/>
      <sheetName val="544NPZEV_858N_QAPP3"/>
      <sheetName val="Rejects_PPM3"/>
      <sheetName val="Pwrchk_SHEET3"/>
      <sheetName val="상세_계산_내역3"/>
      <sheetName val="PRO_(참조)3"/>
      <sheetName val="외주현황_wq13"/>
      <sheetName val="FUEL_FILLER3"/>
      <sheetName val="Process_Cost3"/>
      <sheetName val="BOM_TOP3"/>
      <sheetName val="진행_DATA_(2)3"/>
      <sheetName val="Data(Don't_del)3"/>
      <sheetName val="NI_Input3"/>
      <sheetName val="2_대외공문3"/>
      <sheetName val="GM_change3"/>
      <sheetName val="Fcst_Conv_Cost3"/>
      <sheetName val="Fcst_EQU3"/>
      <sheetName val="Fcst_Var3"/>
      <sheetName val="JUNFOR_Conv_Cost3"/>
      <sheetName val="Junfor_EQU3"/>
      <sheetName val="Junfor_Var3"/>
      <sheetName val="NYPLAN_Conv_Cost3"/>
      <sheetName val="NYPLAN_Conv_Cost_20093"/>
      <sheetName val="NYPLAN_EQU3"/>
      <sheetName val="NYPLAN_EQU_20093"/>
      <sheetName val="NYPLAN_Var3"/>
      <sheetName val="NYPLAN_Var_20093"/>
      <sheetName val="2006_EQU3"/>
      <sheetName val="YTD_Data3"/>
      <sheetName val="Federal_Taxable_Income3"/>
      <sheetName val="진행_DATA_㌨敮g3"/>
      <sheetName val="삼양통상_(검사)3"/>
      <sheetName val="3_일반사상3"/>
      <sheetName val="Input_Sheet3"/>
      <sheetName val="Auto_Sales3"/>
      <sheetName val="5_WIRE적용LIST3"/>
      <sheetName val="CASE_ASM3"/>
      <sheetName val="Eng_A5_h-Breakd_Des_2"/>
      <sheetName val="Notes_Rec_Retrieve3"/>
      <sheetName val="2__Definitions2"/>
      <sheetName val="126_2552"/>
      <sheetName val="1_2내수2"/>
      <sheetName val="▶FR_LSUPT_PWR2"/>
      <sheetName val="메카(우보접수자료_기준)2"/>
      <sheetName val="내수1_8GL2"/>
      <sheetName val="Sheet6_(3)2"/>
      <sheetName val="61_210_2892"/>
      <sheetName val="계산_DATA_입력2"/>
      <sheetName val="TEMP_TORQUE3"/>
      <sheetName val="협력사_일반현황2"/>
      <sheetName val="Sheet_02"/>
      <sheetName val="MPL_技連2"/>
      <sheetName val="342E_BLOCK2"/>
      <sheetName val="LCAUTO_42"/>
      <sheetName val="LCAT수_조2"/>
      <sheetName val="Pln_Pdt2"/>
      <sheetName val="Service_Parts_Rejects_(RPPM)2"/>
      <sheetName val="AMORT_Cost2"/>
      <sheetName val="Do_not_print-_input2"/>
      <sheetName val="JT3_0견적-구13"/>
      <sheetName val="Production_Plan13"/>
      <sheetName val="full_(2)3"/>
      <sheetName val="JT3_0??-?13"/>
      <sheetName val="Cost_Reduction3"/>
      <sheetName val="Assump_&amp;_Issues_FY07_pg2_2"/>
      <sheetName val="R_Prgr_Fin_Data2"/>
      <sheetName val="S_P2"/>
      <sheetName val="JT3_0__-_13"/>
      <sheetName val="Volume_Flex2"/>
      <sheetName val="Costed_BOM_2ndR_40%2"/>
      <sheetName val="GB-IC_Villingen_GG2"/>
      <sheetName val="by_plant2"/>
      <sheetName val="WCF,_SG&amp;A2"/>
      <sheetName val="544NPZEV_858N_QAPP2"/>
      <sheetName val="Rejects_PPM2"/>
      <sheetName val="Pwrchk_SHEET2"/>
      <sheetName val="상세_계산_내역2"/>
      <sheetName val="PRO_(참조)2"/>
      <sheetName val="외주현황_wq12"/>
      <sheetName val="FUEL_FILLER2"/>
      <sheetName val="Process_Cost2"/>
      <sheetName val="BOM_TOP2"/>
      <sheetName val="진행_DATA_(2)2"/>
      <sheetName val="Data(Don't_del)2"/>
      <sheetName val="NI_Input2"/>
      <sheetName val="2_대외공문2"/>
      <sheetName val="GM_change2"/>
      <sheetName val="Fcst_Conv_Cost2"/>
      <sheetName val="Fcst_EQU2"/>
      <sheetName val="Fcst_Var2"/>
      <sheetName val="JUNFOR_Conv_Cost2"/>
      <sheetName val="Junfor_EQU2"/>
      <sheetName val="Junfor_Var2"/>
      <sheetName val="NYPLAN_Conv_Cost2"/>
      <sheetName val="NYPLAN_Conv_Cost_20092"/>
      <sheetName val="NYPLAN_EQU2"/>
      <sheetName val="NYPLAN_EQU_20092"/>
      <sheetName val="NYPLAN_Var2"/>
      <sheetName val="NYPLAN_Var_20092"/>
      <sheetName val="2006_EQU2"/>
      <sheetName val="YTD_Data2"/>
      <sheetName val="Federal_Taxable_Income2"/>
      <sheetName val="진행_DATA_㌨敮g2"/>
      <sheetName val="삼양통상_(검사)2"/>
      <sheetName val="3_일반사상2"/>
      <sheetName val="Input_Sheet2"/>
      <sheetName val="Auto_Sales2"/>
      <sheetName val="5_WIRE적용LIST2"/>
      <sheetName val="CASE_ASM2"/>
      <sheetName val="Eng_A5_h-Breakd_Des_1"/>
      <sheetName val="Notes_Rec_Retrieve2"/>
      <sheetName val="2__Definitions1"/>
      <sheetName val="126_2551"/>
      <sheetName val="1_2내수1"/>
      <sheetName val="▶FR_LSUPT_PWR1"/>
      <sheetName val="메카(우보접수자료_기준)1"/>
      <sheetName val="내수1_8GL1"/>
      <sheetName val="Sheet6_(3)1"/>
      <sheetName val="61_210_2891"/>
      <sheetName val="계산_DATA_입력1"/>
      <sheetName val="TEMP_TORQUE2"/>
      <sheetName val="협력사_일반현황1"/>
      <sheetName val="Sheet_01"/>
      <sheetName val="MPL_技連1"/>
      <sheetName val="342E_BLOCK1"/>
      <sheetName val="LCAUTO_41"/>
      <sheetName val="LCAT수_조1"/>
      <sheetName val="Pln_Pdt1"/>
      <sheetName val="Service_Parts_Rejects_(RPPM)1"/>
      <sheetName val="AMORT_Cost1"/>
      <sheetName val="Do_not_print-_input1"/>
      <sheetName val="JT3_0견적-구15"/>
      <sheetName val="Production_Plan15"/>
      <sheetName val="full_(2)5"/>
      <sheetName val="JT3_0??-?15"/>
      <sheetName val="Cost_Reduction5"/>
      <sheetName val="Assump_&amp;_Issues_FY07_pg2_4"/>
      <sheetName val="R_Prgr_Fin_Data4"/>
      <sheetName val="S_P4"/>
      <sheetName val="JT3_0__-_15"/>
      <sheetName val="Volume_Flex4"/>
      <sheetName val="Costed_BOM_2ndR_40%4"/>
      <sheetName val="GB-IC_Villingen_GG4"/>
      <sheetName val="by_plant4"/>
      <sheetName val="WCF,_SG&amp;A4"/>
      <sheetName val="544NPZEV_858N_QAPP4"/>
      <sheetName val="Rejects_PPM4"/>
      <sheetName val="Pwrchk_SHEET4"/>
      <sheetName val="상세_계산_내역4"/>
      <sheetName val="PRO_(참조)4"/>
      <sheetName val="외주현황_wq14"/>
      <sheetName val="FUEL_FILLER4"/>
      <sheetName val="Process_Cost4"/>
      <sheetName val="BOM_TOP4"/>
      <sheetName val="진행_DATA_(2)4"/>
      <sheetName val="Data(Don't_del)4"/>
      <sheetName val="NI_Input4"/>
      <sheetName val="2_대외공문4"/>
      <sheetName val="GM_change4"/>
      <sheetName val="Fcst_Conv_Cost4"/>
      <sheetName val="Fcst_EQU4"/>
      <sheetName val="Fcst_Var4"/>
      <sheetName val="JUNFOR_Conv_Cost4"/>
      <sheetName val="Junfor_EQU4"/>
      <sheetName val="Junfor_Var4"/>
      <sheetName val="NYPLAN_Conv_Cost4"/>
      <sheetName val="NYPLAN_Conv_Cost_20094"/>
      <sheetName val="NYPLAN_EQU4"/>
      <sheetName val="NYPLAN_EQU_20094"/>
      <sheetName val="NYPLAN_Var4"/>
      <sheetName val="NYPLAN_Var_20094"/>
      <sheetName val="2006_EQU4"/>
      <sheetName val="YTD_Data4"/>
      <sheetName val="Federal_Taxable_Income4"/>
      <sheetName val="진행_DATA_㌨敮g4"/>
      <sheetName val="삼양통상_(검사)4"/>
      <sheetName val="3_일반사상4"/>
      <sheetName val="Input_Sheet4"/>
      <sheetName val="Auto_Sales4"/>
      <sheetName val="5_WIRE적용LIST4"/>
      <sheetName val="CASE_ASM4"/>
      <sheetName val="Eng_A5_h-Breakd_Des_3"/>
      <sheetName val="Notes_Rec_Retrieve4"/>
      <sheetName val="2__Definitions3"/>
      <sheetName val="126_2553"/>
      <sheetName val="1_2내수3"/>
      <sheetName val="▶FR_LSUPT_PWR3"/>
      <sheetName val="메카(우보접수자료_기준)3"/>
      <sheetName val="내수1_8GL3"/>
      <sheetName val="Sheet6_(3)3"/>
      <sheetName val="61_210_2893"/>
      <sheetName val="계산_DATA_입력3"/>
      <sheetName val="TEMP_TORQUE4"/>
      <sheetName val="협력사_일반현황3"/>
      <sheetName val="Sheet_03"/>
      <sheetName val="MPL_技連3"/>
      <sheetName val="342E_BLOCK3"/>
      <sheetName val="LCAUTO_43"/>
      <sheetName val="LCAT수_조3"/>
      <sheetName val="Pln_Pdt3"/>
      <sheetName val="Service_Parts_Rejects_(RPPM)3"/>
      <sheetName val="AMORT_Cost3"/>
      <sheetName val="Do_not_print-_input3"/>
      <sheetName val="R3"/>
      <sheetName val="Volume p.a. by Program"/>
      <sheetName val="Pivot Forecast"/>
      <sheetName val="JT3_0견적-구16"/>
      <sheetName val="Production_Plan16"/>
      <sheetName val="full_(2)6"/>
      <sheetName val="JT3_0??-?16"/>
      <sheetName val="Cost_Reduction6"/>
      <sheetName val="Assump_&amp;_Issues_FY07_pg2_5"/>
      <sheetName val="R_Prgr_Fin_Data5"/>
      <sheetName val="S_P5"/>
      <sheetName val="JT3_0__-_16"/>
      <sheetName val="Volume_Flex5"/>
      <sheetName val="Costed_BOM_2ndR_40%5"/>
      <sheetName val="GB-IC_Villingen_GG5"/>
      <sheetName val="by_plant5"/>
      <sheetName val="WCF,_SG&amp;A5"/>
      <sheetName val="544NPZEV_858N_QAPP5"/>
      <sheetName val="Rejects_PPM5"/>
      <sheetName val="Pwrchk_SHEET5"/>
      <sheetName val="상세_계산_내역5"/>
      <sheetName val="PRO_(참조)5"/>
      <sheetName val="외주현황_wq15"/>
      <sheetName val="FUEL_FILLER5"/>
      <sheetName val="Process_Cost5"/>
      <sheetName val="BOM_TOP5"/>
      <sheetName val="진행_DATA_(2)5"/>
      <sheetName val="Data(Don't_del)5"/>
      <sheetName val="NI_Input5"/>
      <sheetName val="2_대외공문5"/>
      <sheetName val="GM_change5"/>
      <sheetName val="Fcst_Conv_Cost5"/>
      <sheetName val="Fcst_EQU5"/>
      <sheetName val="Fcst_Var5"/>
      <sheetName val="JUNFOR_Conv_Cost5"/>
      <sheetName val="Junfor_EQU5"/>
      <sheetName val="Junfor_Var5"/>
      <sheetName val="NYPLAN_Conv_Cost5"/>
      <sheetName val="NYPLAN_Conv_Cost_20095"/>
      <sheetName val="NYPLAN_EQU5"/>
      <sheetName val="NYPLAN_EQU_20095"/>
      <sheetName val="NYPLAN_Var5"/>
      <sheetName val="NYPLAN_Var_20095"/>
      <sheetName val="2006_EQU5"/>
      <sheetName val="YTD_Data5"/>
      <sheetName val="Federal_Taxable_Income5"/>
      <sheetName val="진행_DATA_㌨敮g5"/>
      <sheetName val="삼양통상_(검사)5"/>
      <sheetName val="3_일반사상5"/>
      <sheetName val="Input_Sheet5"/>
      <sheetName val="Auto_Sales5"/>
      <sheetName val="5_WIRE적용LIST5"/>
      <sheetName val="CASE_ASM5"/>
      <sheetName val="Eng_A5_h-Breakd_Des_4"/>
      <sheetName val="Notes_Rec_Retrieve5"/>
      <sheetName val="2__Definitions4"/>
      <sheetName val="126_2554"/>
      <sheetName val="1_2내수4"/>
      <sheetName val="▶FR_LSUPT_PWR4"/>
      <sheetName val="메카(우보접수자료_기준)4"/>
      <sheetName val="내수1_8GL4"/>
      <sheetName val="Sheet6_(3)4"/>
      <sheetName val="61_210_2894"/>
      <sheetName val="계산_DATA_입력4"/>
      <sheetName val="TEMP_TORQUE5"/>
      <sheetName val="협력사_일반현황4"/>
      <sheetName val="Sheet_04"/>
      <sheetName val="MPL_技連4"/>
      <sheetName val="342E_BLOCK4"/>
      <sheetName val="LCAUTO_44"/>
      <sheetName val="LCAT수_조4"/>
      <sheetName val="Pln_Pdt4"/>
      <sheetName val="Service_Parts_Rejects_(RPPM)4"/>
      <sheetName val="AMORT_Cost4"/>
      <sheetName val="Do_not_print-_input4"/>
      <sheetName val="JT3_0견적-구17"/>
      <sheetName val="Production_Plan17"/>
      <sheetName val="full_(2)7"/>
      <sheetName val="JT3_0??-?17"/>
      <sheetName val="Cost_Reduction7"/>
      <sheetName val="Assump_&amp;_Issues_FY07_pg2_6"/>
      <sheetName val="by_plant6"/>
      <sheetName val="R_Prgr_Fin_Data6"/>
      <sheetName val="S_P6"/>
      <sheetName val="JT3_0__-_17"/>
      <sheetName val="Volume_Flex6"/>
      <sheetName val="Costed_BOM_2ndR_40%6"/>
      <sheetName val="GB-IC_Villingen_GG6"/>
      <sheetName val="544NPZEV_858N_QAPP6"/>
      <sheetName val="WCF,_SG&amp;A6"/>
      <sheetName val="Rejects_PPM6"/>
      <sheetName val="Pwrchk_SHEET6"/>
      <sheetName val="상세_계산_내역6"/>
      <sheetName val="PRO_(참조)6"/>
      <sheetName val="외주현황_wq16"/>
      <sheetName val="FUEL_FILLER6"/>
      <sheetName val="Process_Cost6"/>
      <sheetName val="BOM_TOP6"/>
      <sheetName val="진행_DATA_(2)6"/>
      <sheetName val="Data(Don't_del)6"/>
      <sheetName val="NI_Input6"/>
      <sheetName val="2_대외공문6"/>
      <sheetName val="GM_change6"/>
      <sheetName val="Fcst_Conv_Cost6"/>
      <sheetName val="Fcst_EQU6"/>
      <sheetName val="Fcst_Var6"/>
      <sheetName val="JUNFOR_Conv_Cost6"/>
      <sheetName val="Junfor_EQU6"/>
      <sheetName val="Junfor_Var6"/>
      <sheetName val="NYPLAN_Conv_Cost6"/>
      <sheetName val="NYPLAN_Conv_Cost_20096"/>
      <sheetName val="NYPLAN_EQU6"/>
      <sheetName val="NYPLAN_EQU_20096"/>
      <sheetName val="NYPLAN_Var6"/>
      <sheetName val="NYPLAN_Var_20096"/>
      <sheetName val="2006_EQU6"/>
      <sheetName val="YTD_Data6"/>
      <sheetName val="Federal_Taxable_Income6"/>
      <sheetName val="진행_DATA_㌨敮g6"/>
      <sheetName val="삼양통상_(검사)6"/>
      <sheetName val="3_일반사상6"/>
      <sheetName val="Input_Sheet6"/>
      <sheetName val="Auto_Sales6"/>
      <sheetName val="5_WIRE적용LIST6"/>
      <sheetName val="CASE_ASM6"/>
      <sheetName val="Eng_A5_h-Breakd_Des_5"/>
      <sheetName val="Notes_Rec_Retrieve6"/>
      <sheetName val="2__Definitions5"/>
      <sheetName val="126_2555"/>
      <sheetName val="1_2내수5"/>
      <sheetName val="▶FR_LSUPT_PWR5"/>
      <sheetName val="메카(우보접수자료_기준)5"/>
      <sheetName val="내수1_8GL5"/>
      <sheetName val="Sheet6_(3)5"/>
      <sheetName val="61_210_2895"/>
      <sheetName val="계산_DATA_입력5"/>
      <sheetName val="TEMP_TORQUE6"/>
      <sheetName val="협력사_일반현황5"/>
      <sheetName val="Sheet_05"/>
      <sheetName val="MPL_技連5"/>
      <sheetName val="342E_BLOCK5"/>
      <sheetName val="LCAUTO_45"/>
      <sheetName val="LCAT수_조5"/>
      <sheetName val="Pln_Pdt5"/>
      <sheetName val="Service_Parts_Rejects_(RPPM)5"/>
      <sheetName val="AMORT_Cost5"/>
      <sheetName val="Do_not_print-_input5"/>
      <sheetName val="JT3_0견적-구19"/>
      <sheetName val="Production_Plan19"/>
      <sheetName val="full_(2)9"/>
      <sheetName val="JT3_0??-?19"/>
      <sheetName val="Cost_Reduction9"/>
      <sheetName val="Assump_&amp;_Issues_FY07_pg2_8"/>
      <sheetName val="by_plant8"/>
      <sheetName val="R_Prgr_Fin_Data8"/>
      <sheetName val="S_P8"/>
      <sheetName val="JT3_0__-_19"/>
      <sheetName val="Volume_Flex8"/>
      <sheetName val="Costed_BOM_2ndR_40%8"/>
      <sheetName val="GB-IC_Villingen_GG8"/>
      <sheetName val="544NPZEV_858N_QAPP8"/>
      <sheetName val="WCF,_SG&amp;A8"/>
      <sheetName val="Rejects_PPM8"/>
      <sheetName val="Pwrchk_SHEET8"/>
      <sheetName val="상세_계산_내역8"/>
      <sheetName val="PRO_(참조)8"/>
      <sheetName val="외주현황_wq18"/>
      <sheetName val="FUEL_FILLER8"/>
      <sheetName val="Process_Cost8"/>
      <sheetName val="BOM_TOP8"/>
      <sheetName val="진행_DATA_(2)8"/>
      <sheetName val="Data(Don't_del)8"/>
      <sheetName val="NI_Input8"/>
      <sheetName val="2_대외공문8"/>
      <sheetName val="GM_change8"/>
      <sheetName val="Fcst_Conv_Cost8"/>
      <sheetName val="Fcst_EQU8"/>
      <sheetName val="Fcst_Var8"/>
      <sheetName val="JUNFOR_Conv_Cost8"/>
      <sheetName val="Junfor_EQU8"/>
      <sheetName val="Junfor_Var8"/>
      <sheetName val="NYPLAN_Conv_Cost8"/>
      <sheetName val="NYPLAN_Conv_Cost_20098"/>
      <sheetName val="NYPLAN_EQU8"/>
      <sheetName val="NYPLAN_EQU_20098"/>
      <sheetName val="NYPLAN_Var8"/>
      <sheetName val="NYPLAN_Var_20098"/>
      <sheetName val="2006_EQU8"/>
      <sheetName val="YTD_Data8"/>
      <sheetName val="Federal_Taxable_Income8"/>
      <sheetName val="진행_DATA_㌨敮g8"/>
      <sheetName val="삼양통상_(검사)8"/>
      <sheetName val="3_일반사상8"/>
      <sheetName val="Input_Sheet8"/>
      <sheetName val="Auto_Sales8"/>
      <sheetName val="5_WIRE적용LIST8"/>
      <sheetName val="CASE_ASM8"/>
      <sheetName val="Eng_A5_h-Breakd_Des_7"/>
      <sheetName val="Notes_Rec_Retrieve8"/>
      <sheetName val="2__Definitions7"/>
      <sheetName val="126_2557"/>
      <sheetName val="1_2내수7"/>
      <sheetName val="▶FR_LSUPT_PWR7"/>
      <sheetName val="메카(우보접수자료_기준)7"/>
      <sheetName val="내수1_8GL7"/>
      <sheetName val="Sheet6_(3)7"/>
      <sheetName val="61_210_2897"/>
      <sheetName val="계산_DATA_입력7"/>
      <sheetName val="TEMP_TORQUE8"/>
      <sheetName val="협력사_일반현황7"/>
      <sheetName val="Sheet_07"/>
      <sheetName val="MPL_技連7"/>
      <sheetName val="342E_BLOCK7"/>
      <sheetName val="LCAUTO_47"/>
      <sheetName val="LCAT수_조7"/>
      <sheetName val="Pln_Pdt7"/>
      <sheetName val="Service_Parts_Rejects_(RPPM)7"/>
      <sheetName val="AMORT_Cost7"/>
      <sheetName val="Do_not_print-_input7"/>
      <sheetName val="JT3_0견적-구18"/>
      <sheetName val="Production_Plan18"/>
      <sheetName val="full_(2)8"/>
      <sheetName val="JT3_0??-?18"/>
      <sheetName val="Cost_Reduction8"/>
      <sheetName val="Assump_&amp;_Issues_FY07_pg2_7"/>
      <sheetName val="R_Prgr_Fin_Data7"/>
      <sheetName val="S_P7"/>
      <sheetName val="JT3_0__-_18"/>
      <sheetName val="Volume_Flex7"/>
      <sheetName val="Costed_BOM_2ndR_40%7"/>
      <sheetName val="GB-IC_Villingen_GG7"/>
      <sheetName val="by_plant7"/>
      <sheetName val="WCF,_SG&amp;A7"/>
      <sheetName val="544NPZEV_858N_QAPP7"/>
      <sheetName val="Rejects_PPM7"/>
      <sheetName val="Pwrchk_SHEET7"/>
      <sheetName val="상세_계산_내역7"/>
      <sheetName val="PRO_(참조)7"/>
      <sheetName val="외주현황_wq17"/>
      <sheetName val="FUEL_FILLER7"/>
      <sheetName val="Process_Cost7"/>
      <sheetName val="BOM_TOP7"/>
      <sheetName val="진행_DATA_(2)7"/>
      <sheetName val="Data(Don't_del)7"/>
      <sheetName val="NI_Input7"/>
      <sheetName val="2_대외공문7"/>
      <sheetName val="GM_change7"/>
      <sheetName val="Fcst_Conv_Cost7"/>
      <sheetName val="Fcst_EQU7"/>
      <sheetName val="Fcst_Var7"/>
      <sheetName val="JUNFOR_Conv_Cost7"/>
      <sheetName val="Junfor_EQU7"/>
      <sheetName val="Junfor_Var7"/>
      <sheetName val="NYPLAN_Conv_Cost7"/>
      <sheetName val="NYPLAN_Conv_Cost_20097"/>
      <sheetName val="NYPLAN_EQU7"/>
      <sheetName val="NYPLAN_EQU_20097"/>
      <sheetName val="NYPLAN_Var7"/>
      <sheetName val="NYPLAN_Var_20097"/>
      <sheetName val="2006_EQU7"/>
      <sheetName val="YTD_Data7"/>
      <sheetName val="Federal_Taxable_Income7"/>
      <sheetName val="진행_DATA_㌨敮g7"/>
      <sheetName val="삼양통상_(검사)7"/>
      <sheetName val="3_일반사상7"/>
      <sheetName val="Input_Sheet7"/>
      <sheetName val="Auto_Sales7"/>
      <sheetName val="5_WIRE적용LIST7"/>
      <sheetName val="CASE_ASM7"/>
      <sheetName val="Eng_A5_h-Breakd_Des_6"/>
      <sheetName val="Notes_Rec_Retrieve7"/>
      <sheetName val="2__Definitions6"/>
      <sheetName val="126_2556"/>
      <sheetName val="1_2내수6"/>
      <sheetName val="▶FR_LSUPT_PWR6"/>
      <sheetName val="메카(우보접수자료_기준)6"/>
      <sheetName val="내수1_8GL6"/>
      <sheetName val="Sheet6_(3)6"/>
      <sheetName val="61_210_2896"/>
      <sheetName val="계산_DATA_입력6"/>
      <sheetName val="TEMP_TORQUE7"/>
      <sheetName val="협력사_일반현황6"/>
      <sheetName val="Sheet_06"/>
      <sheetName val="MPL_技連6"/>
      <sheetName val="342E_BLOCK6"/>
      <sheetName val="LCAUTO_46"/>
      <sheetName val="LCAT수_조6"/>
      <sheetName val="Pln_Pdt6"/>
      <sheetName val="Service_Parts_Rejects_(RPPM)6"/>
      <sheetName val="AMORT_Cost6"/>
      <sheetName val="Do_not_print-_input6"/>
      <sheetName val="6B008"/>
      <sheetName val="96수출"/>
      <sheetName val="Material Import Rate"/>
      <sheetName val="SCP Apr2015"/>
      <sheetName val="FY08 Scorecard"/>
      <sheetName val="FRT_TABLE"/>
      <sheetName val="기초Data"/>
      <sheetName val="사업부구분코드"/>
      <sheetName val="품목표"/>
      <sheetName val="입력-설비별(수량,시간,불량)"/>
      <sheetName val="출력-생산일보"/>
      <sheetName val="Inputs"/>
      <sheetName val="견적집계표"/>
      <sheetName val="97010-N7000 DUCT NO1(AT)"/>
      <sheetName val="97020-N7000 DUCT NO2(AT)"/>
      <sheetName val="97010-N7200 DUCT NO1(MT)"/>
      <sheetName val="97020-N7200 DUCT NO2(MT) -LHD,R"/>
      <sheetName val="97010-N7100 DUCT NO1(SBW)"/>
      <sheetName val="97020-N7100 DUCT NO2(SBW)"/>
      <sheetName val="LIST"/>
      <sheetName val="SEALING"/>
      <sheetName val="적용작"/>
      <sheetName val="GHI CHÚ"/>
      <sheetName val="Dropdown Menues"/>
      <sheetName val="XV0個人"/>
      <sheetName val="96연구소인건비"/>
      <sheetName val="CB9"/>
      <sheetName val="총"/>
      <sheetName val="S50 "/>
      <sheetName val="Rate data"/>
      <sheetName val="RD???????(??)"/>
      <sheetName val="Girdi Maliyetleri"/>
      <sheetName val="소상 &quot;1&quot;"/>
      <sheetName val="Data Reference"/>
      <sheetName val="FN 임율차이(1Y000)"/>
      <sheetName val="★★미결건수관리(원가)★★"/>
      <sheetName val="설비시간가동율"/>
      <sheetName val="원재료"/>
      <sheetName val="6MONTHS"/>
      <sheetName val="JT3_0견적-구110"/>
      <sheetName val="full_(2)10"/>
      <sheetName val="Production_Plan110"/>
      <sheetName val="Cost_Reduction10"/>
      <sheetName val="JT3_0??-?110"/>
      <sheetName val="GB-IC_Villingen_GG9"/>
      <sheetName val="Costed_BOM_2ndR_40%9"/>
      <sheetName val="S_P9"/>
      <sheetName val="JT3_0__-_110"/>
      <sheetName val="R_Prgr_Fin_Data9"/>
      <sheetName val="544NPZEV_858N_QAPP9"/>
      <sheetName val="Volume_Flex9"/>
      <sheetName val="PRO_(참조)9"/>
      <sheetName val="Pwrchk_SHEET9"/>
      <sheetName val="상세_계산_내역9"/>
      <sheetName val="외주현황_wq19"/>
      <sheetName val="FUEL_FILLER9"/>
      <sheetName val="Assump_&amp;_Issues_FY07_pg2_9"/>
      <sheetName val="by_plant9"/>
      <sheetName val="진행_DATA_(2)9"/>
      <sheetName val="Data(Don't_del)9"/>
      <sheetName val="NI_Input9"/>
      <sheetName val="2_대외공문9"/>
      <sheetName val="Rejects_PPM9"/>
      <sheetName val="WCF,_SG&amp;A9"/>
      <sheetName val="3_일반사상9"/>
      <sheetName val="진행_DATA_㌨敮g9"/>
      <sheetName val="Input_Sheet9"/>
      <sheetName val="삼양통상_(검사)9"/>
      <sheetName val="Auto_Sales9"/>
      <sheetName val="5_WIRE적용LIST9"/>
      <sheetName val="CASE_ASM9"/>
      <sheetName val="1_2내수8"/>
      <sheetName val="메카(우보접수자료_기준)8"/>
      <sheetName val="Notes_Rec_Retrieve9"/>
      <sheetName val="Process_Cost9"/>
      <sheetName val="BOM_TOP9"/>
      <sheetName val="내수1_8GL8"/>
      <sheetName val="2__Definitions8"/>
      <sheetName val="126_2558"/>
      <sheetName val="Sheet6_(3)8"/>
      <sheetName val="▶FR_LSUPT_PWR8"/>
      <sheetName val="61_210_2898"/>
      <sheetName val="계산_DATA_입력8"/>
      <sheetName val="TEMP_TORQUE9"/>
      <sheetName val="협력사_일반현황8"/>
      <sheetName val="GM_change9"/>
      <sheetName val="Fcst_Conv_Cost9"/>
      <sheetName val="Fcst_EQU9"/>
      <sheetName val="Fcst_Var9"/>
      <sheetName val="JUNFOR_Conv_Cost9"/>
      <sheetName val="Junfor_EQU9"/>
      <sheetName val="Junfor_Var9"/>
      <sheetName val="NYPLAN_Conv_Cost9"/>
      <sheetName val="NYPLAN_Conv_Cost_20099"/>
      <sheetName val="NYPLAN_EQU9"/>
      <sheetName val="NYPLAN_EQU_20099"/>
      <sheetName val="NYPLAN_Var9"/>
      <sheetName val="NYPLAN_Var_20099"/>
      <sheetName val="2006_EQU9"/>
      <sheetName val="YTD_Data9"/>
      <sheetName val="OPT손익_내수1"/>
      <sheetName val="OPT손익_수출1"/>
      <sheetName val="LCAUTO_48"/>
      <sheetName val="LCAT수_조8"/>
      <sheetName val="Pln_Pdt8"/>
      <sheetName val="장기재료비개선_집계표1"/>
      <sheetName val="After_Sales_Supplier_#'s1"/>
      <sheetName val="KG_일반용_원사1"/>
      <sheetName val="Manual_Inputs1"/>
      <sheetName val="CODE_LIST1"/>
      <sheetName val="NO_11"/>
      <sheetName val="2-2_매출분석1"/>
      <sheetName val="Ⅲ-1_판매편성방향1"/>
      <sheetName val="Federal_Taxable_Income9"/>
      <sheetName val="General_info1"/>
      <sheetName val="VAR_DAC1"/>
      <sheetName val="PACKING_SLIP1"/>
      <sheetName val="Sheet_08"/>
      <sheetName val="MPL_技連8"/>
      <sheetName val="342E_BLOCK8"/>
      <sheetName val="Service_Parts_Rejects_(RPPM)8"/>
      <sheetName val="AMORT_Cost8"/>
      <sheetName val="Do_not_print-_input8"/>
      <sheetName val="Iran_REP05-07"/>
      <sheetName val="SO_SÁNH_GIÁ"/>
      <sheetName val="KHUON_GC_MOI"/>
      <sheetName val="KHUON_SUA-DHR"/>
      <sheetName val="VAT_TU"/>
      <sheetName val="ma_khuon_do_dang"/>
      <sheetName val="KH_TCHINH"/>
      <sheetName val="TONG_HOP_GIA"/>
      <sheetName val="TONG_HOP_NHAN_CONG"/>
      <sheetName val="KE_HOACH_KINH_DOANH"/>
      <sheetName val="CAU_TRUC_GIA"/>
      <sheetName val="EDM-TONG_TG_GIA_CONG"/>
      <sheetName val="PHAY-TONG_TG_GC"/>
      <sheetName val="TG_GD_TREN_EDM_VA_GRAPHITE"/>
      <sheetName val="SAN_LUONG_KHUON_QUY_DOI"/>
      <sheetName val="HIEU_QUA_DAU_TU"/>
      <sheetName val="bảng_kê_thiet_bị"/>
      <sheetName val="BANG_KE_VAT_TU_DAT_MUA_VÀ_GC"/>
      <sheetName val="Drop_down_menus"/>
      <sheetName val="Lists_and_Info"/>
      <sheetName val="FY04-06_Spend"/>
      <sheetName val="Budget_Rates"/>
      <sheetName val="Data_List"/>
      <sheetName val="Europe_PU-1"/>
      <sheetName val="Master_Updated(517)"/>
      <sheetName val="PP_Letter_389N"/>
      <sheetName val="Parts_Requiring_Orders"/>
      <sheetName val="Fx_Rates"/>
      <sheetName val="5_2010년도_신제품_개발계획(1)"/>
      <sheetName val="Balance_Sht"/>
      <sheetName val="PRESS_DATA"/>
      <sheetName val="T__DE_C_"/>
      <sheetName val="MA_MAY"/>
      <sheetName val="조립비(VIL_SO)"/>
      <sheetName val="QA4_MASTER_LIST"/>
      <sheetName val="MARGIN_FORECASTS"/>
      <sheetName val="REVENUE_FORECASTS"/>
      <sheetName val="Eng_A5_h-Breakd_Des_8"/>
      <sheetName val="power_with_massage"/>
      <sheetName val="Volume_p_a__by_Program"/>
      <sheetName val="Pivot_Forecast"/>
      <sheetName val="Material_Import_Rate"/>
      <sheetName val="SCP_Apr2015"/>
      <sheetName val="FY08_Scorecard"/>
      <sheetName val="입력 데이터"/>
      <sheetName val="JT3_0견적-구111"/>
      <sheetName val="Production_Plan111"/>
      <sheetName val="full_(2)11"/>
      <sheetName val="Cost_Reduction11"/>
      <sheetName val="JT3_0??-?111"/>
      <sheetName val="GB-IC_Villingen_GG10"/>
      <sheetName val="Costed_BOM_2ndR_40%10"/>
      <sheetName val="S_P10"/>
      <sheetName val="JT3_0__-_111"/>
      <sheetName val="R_Prgr_Fin_Data10"/>
      <sheetName val="544NPZEV_858N_QAPP10"/>
      <sheetName val="Volume_Flex10"/>
      <sheetName val="Pwrchk_SHEET10"/>
      <sheetName val="상세_계산_내역10"/>
      <sheetName val="Assump_&amp;_Issues_FY07_pg2_10"/>
      <sheetName val="by_plant10"/>
      <sheetName val="PRO_(참조)10"/>
      <sheetName val="외주현황_wq110"/>
      <sheetName val="진행_DATA_(2)10"/>
      <sheetName val="FUEL_FILLER10"/>
      <sheetName val="Data(Don't_del)10"/>
      <sheetName val="NI_Input10"/>
      <sheetName val="2_대외공문10"/>
      <sheetName val="Rejects_PPM10"/>
      <sheetName val="WCF,_SG&amp;A10"/>
      <sheetName val="진행_DATA_㌨敮g10"/>
      <sheetName val="3_일반사상10"/>
      <sheetName val="삼양통상_(검사)10"/>
      <sheetName val="Auto_Sales10"/>
      <sheetName val="Input_Sheet10"/>
      <sheetName val="CASE_ASM10"/>
      <sheetName val="5_WIRE적용LIST10"/>
      <sheetName val="Process_Cost10"/>
      <sheetName val="BOM_TOP10"/>
      <sheetName val="Sheet6_(3)9"/>
      <sheetName val="Notes_Rec_Retrieve10"/>
      <sheetName val="1_2내수9"/>
      <sheetName val="▶FR_LSUPT_PWR9"/>
      <sheetName val="2__Definitions9"/>
      <sheetName val="126_2559"/>
      <sheetName val="메카(우보접수자료_기준)9"/>
      <sheetName val="내수1_8GL9"/>
      <sheetName val="61_210_2899"/>
      <sheetName val="계산_DATA_입력9"/>
      <sheetName val="TEMP_TORQUE10"/>
      <sheetName val="협력사_일반현황9"/>
      <sheetName val="GM_change10"/>
      <sheetName val="Fcst_Conv_Cost10"/>
      <sheetName val="Fcst_EQU10"/>
      <sheetName val="Fcst_Var10"/>
      <sheetName val="JUNFOR_Conv_Cost10"/>
      <sheetName val="Junfor_EQU10"/>
      <sheetName val="Junfor_Var10"/>
      <sheetName val="NYPLAN_Conv_Cost10"/>
      <sheetName val="NYPLAN_Conv_Cost_200910"/>
      <sheetName val="NYPLAN_EQU10"/>
      <sheetName val="NYPLAN_EQU_200910"/>
      <sheetName val="NYPLAN_Var10"/>
      <sheetName val="NYPLAN_Var_200910"/>
      <sheetName val="2006_EQU10"/>
      <sheetName val="YTD_Data10"/>
      <sheetName val="OPT손익_내수2"/>
      <sheetName val="OPT손익_수출2"/>
      <sheetName val="LCAUTO_49"/>
      <sheetName val="LCAT수_조9"/>
      <sheetName val="Pln_Pdt9"/>
      <sheetName val="장기재료비개선_집계표2"/>
      <sheetName val="After_Sales_Supplier_#'s2"/>
      <sheetName val="KG_일반용_원사2"/>
      <sheetName val="Manual_Inputs2"/>
      <sheetName val="CODE_LIST2"/>
      <sheetName val="NO_12"/>
      <sheetName val="2-2_매출분석2"/>
      <sheetName val="Ⅲ-1_판매편성방향2"/>
      <sheetName val="Federal_Taxable_Income10"/>
      <sheetName val="General_info2"/>
      <sheetName val="VAR_DAC2"/>
      <sheetName val="PACKING_SLIP2"/>
      <sheetName val="Sheet_09"/>
      <sheetName val="MPL_技連9"/>
      <sheetName val="342E_BLOCK9"/>
      <sheetName val="Service_Parts_Rejects_(RPPM)9"/>
      <sheetName val="AMORT_Cost9"/>
      <sheetName val="Do_not_print-_input9"/>
      <sheetName val="Iran_REP05-071"/>
      <sheetName val="SO_SÁNH_GIÁ1"/>
      <sheetName val="KHUON_GC_MOI1"/>
      <sheetName val="KHUON_SUA-DHR1"/>
      <sheetName val="VAT_TU1"/>
      <sheetName val="ma_khuon_do_dang1"/>
      <sheetName val="KH_TCHINH1"/>
      <sheetName val="TONG_HOP_GIA1"/>
      <sheetName val="TONG_HOP_NHAN_CONG1"/>
      <sheetName val="KE_HOACH_KINH_DOANH1"/>
      <sheetName val="CAU_TRUC_GIA1"/>
      <sheetName val="EDM-TONG_TG_GIA_CONG1"/>
      <sheetName val="PHAY-TONG_TG_GC1"/>
      <sheetName val="TG_GD_TREN_EDM_VA_GRAPHITE1"/>
      <sheetName val="SAN_LUONG_KHUON_QUY_DOI1"/>
      <sheetName val="HIEU_QUA_DAU_TU1"/>
      <sheetName val="bảng_kê_thiet_bị1"/>
      <sheetName val="BANG_KE_VAT_TU_DAT_MUA_VÀ_GC1"/>
      <sheetName val="Drop_down_menus1"/>
      <sheetName val="Lists_and_Info1"/>
      <sheetName val="FY04-06_Spend1"/>
      <sheetName val="Budget_Rates1"/>
      <sheetName val="Data_List1"/>
      <sheetName val="Europe_PU-11"/>
      <sheetName val="Master_Updated(517)1"/>
      <sheetName val="PP_Letter_389N1"/>
      <sheetName val="Parts_Requiring_Orders1"/>
      <sheetName val="Fx_Rates1"/>
      <sheetName val="5_2010년도_신제품_개발계획(1)1"/>
      <sheetName val="Balance_Sht1"/>
      <sheetName val="PRESS_DATA1"/>
      <sheetName val="T__DE_C_1"/>
      <sheetName val="MA_MAY1"/>
      <sheetName val="조립비(VIL_SO)1"/>
      <sheetName val="QA4_MASTER_LIST1"/>
      <sheetName val="Upperbody"/>
      <sheetName val="BOM"/>
      <sheetName val="Precios"/>
      <sheetName val="Config"/>
      <sheetName val="DATA_HISTORY"/>
      <sheetName val="Prm"/>
      <sheetName val="불량 목록"/>
      <sheetName val="Start Here"/>
      <sheetName val="Non Labour Forecast"/>
      <sheetName val="외화"/>
      <sheetName val="자금동향"/>
      <sheetName val="(참고)공정구분APS(단가 차이)"/>
      <sheetName val="RawMatl"/>
      <sheetName val="DataSheet"/>
      <sheetName val="차종별장판"/>
      <sheetName val="CAPA"/>
      <sheetName val="전장"/>
      <sheetName val="차체"/>
      <sheetName val="BAU"/>
      <sheetName val="총괄표"/>
      <sheetName val="EMN"/>
      <sheetName val="Income Statement Input"/>
      <sheetName val="AI and Vol Inp"/>
      <sheetName val="84531"/>
      <sheetName val="JT3_0견적-구114"/>
      <sheetName val="Production_Plan114"/>
      <sheetName val="full_(2)14"/>
      <sheetName val="JT3_0??-?114"/>
      <sheetName val="Cost_Reduction14"/>
      <sheetName val="Assump_&amp;_Issues_FY07_pg2_13"/>
      <sheetName val="by_plant13"/>
      <sheetName val="R_Prgr_Fin_Data13"/>
      <sheetName val="S_P13"/>
      <sheetName val="JT3_0__-_114"/>
      <sheetName val="Volume_Flex13"/>
      <sheetName val="Costed_BOM_2ndR_40%13"/>
      <sheetName val="GB-IC_Villingen_GG13"/>
      <sheetName val="544NPZEV_858N_QAPP13"/>
      <sheetName val="WCF,_SG&amp;A13"/>
      <sheetName val="Rejects_PPM13"/>
      <sheetName val="Pwrchk_SHEET13"/>
      <sheetName val="상세_계산_내역13"/>
      <sheetName val="PRO_(참조)13"/>
      <sheetName val="외주현황_wq113"/>
      <sheetName val="FUEL_FILLER13"/>
      <sheetName val="Process_Cost13"/>
      <sheetName val="BOM_TOP13"/>
      <sheetName val="진행_DATA_(2)13"/>
      <sheetName val="Data(Don't_del)13"/>
      <sheetName val="NI_Input13"/>
      <sheetName val="2_대외공문13"/>
      <sheetName val="GM_change13"/>
      <sheetName val="Fcst_Conv_Cost13"/>
      <sheetName val="Fcst_EQU13"/>
      <sheetName val="Fcst_Var13"/>
      <sheetName val="JUNFOR_Conv_Cost13"/>
      <sheetName val="Junfor_EQU13"/>
      <sheetName val="Junfor_Var13"/>
      <sheetName val="NYPLAN_Conv_Cost13"/>
      <sheetName val="NYPLAN_Conv_Cost_200913"/>
      <sheetName val="NYPLAN_EQU13"/>
      <sheetName val="NYPLAN_EQU_200913"/>
      <sheetName val="NYPLAN_Var13"/>
      <sheetName val="NYPLAN_Var_200913"/>
      <sheetName val="2006_EQU13"/>
      <sheetName val="YTD_Data13"/>
      <sheetName val="Federal_Taxable_Income13"/>
      <sheetName val="진행_DATA_㌨敮g13"/>
      <sheetName val="삼양통상_(검사)13"/>
      <sheetName val="3_일반사상13"/>
      <sheetName val="Input_Sheet13"/>
      <sheetName val="Auto_Sales13"/>
      <sheetName val="5_WIRE적용LIST13"/>
      <sheetName val="CASE_ASM13"/>
      <sheetName val="Eng_A5_h-Breakd_Des_12"/>
      <sheetName val="Notes_Rec_Retrieve13"/>
      <sheetName val="2__Definitions12"/>
      <sheetName val="126_25512"/>
      <sheetName val="1_2내수12"/>
      <sheetName val="▶FR_LSUPT_PWR12"/>
      <sheetName val="메카(우보접수자료_기준)12"/>
      <sheetName val="내수1_8GL12"/>
      <sheetName val="Sheet6_(3)12"/>
      <sheetName val="61_210_28912"/>
      <sheetName val="계산_DATA_입력12"/>
      <sheetName val="TEMP_TORQUE13"/>
      <sheetName val="협력사_일반현황12"/>
      <sheetName val="Sheet_012"/>
      <sheetName val="MPL_技連12"/>
      <sheetName val="342E_BLOCK12"/>
      <sheetName val="LCAUTO_412"/>
      <sheetName val="LCAT수_조12"/>
      <sheetName val="Pln_Pdt12"/>
      <sheetName val="Service_Parts_Rejects_(RPPM)12"/>
      <sheetName val="AMORT_Cost12"/>
      <sheetName val="Do_not_print-_input12"/>
      <sheetName val="Parts_Requiring_Orders4"/>
      <sheetName val="After_Sales_Supplier_#'s4"/>
      <sheetName val="KG_일반용_원사4"/>
      <sheetName val="장기재료비개선_집계표4"/>
      <sheetName val="OPT손익_내수4"/>
      <sheetName val="OPT손익_수출4"/>
      <sheetName val="CODE_LIST4"/>
      <sheetName val="Manual_Inputs4"/>
      <sheetName val="NO_14"/>
      <sheetName val="General_info4"/>
      <sheetName val="2-2_매출분석4"/>
      <sheetName val="Ⅲ-1_판매편성방향4"/>
      <sheetName val="VAR_DAC4"/>
      <sheetName val="PACKING_SLIP4"/>
      <sheetName val="Fx_Rates4"/>
      <sheetName val="JT3_0견적-구112"/>
      <sheetName val="Production_Plan112"/>
      <sheetName val="full_(2)12"/>
      <sheetName val="JT3_0??-?112"/>
      <sheetName val="Cost_Reduction12"/>
      <sheetName val="Assump_&amp;_Issues_FY07_pg2_11"/>
      <sheetName val="by_plant11"/>
      <sheetName val="R_Prgr_Fin_Data11"/>
      <sheetName val="S_P11"/>
      <sheetName val="JT3_0__-_112"/>
      <sheetName val="Volume_Flex11"/>
      <sheetName val="Costed_BOM_2ndR_40%11"/>
      <sheetName val="GB-IC_Villingen_GG11"/>
      <sheetName val="544NPZEV_858N_QAPP11"/>
      <sheetName val="WCF,_SG&amp;A11"/>
      <sheetName val="Rejects_PPM11"/>
      <sheetName val="Pwrchk_SHEET11"/>
      <sheetName val="상세_계산_내역11"/>
      <sheetName val="PRO_(참조)11"/>
      <sheetName val="외주현황_wq111"/>
      <sheetName val="FUEL_FILLER11"/>
      <sheetName val="Process_Cost11"/>
      <sheetName val="BOM_TOP11"/>
      <sheetName val="진행_DATA_(2)11"/>
      <sheetName val="Data(Don't_del)11"/>
      <sheetName val="NI_Input11"/>
      <sheetName val="2_대외공문11"/>
      <sheetName val="GM_change11"/>
      <sheetName val="Fcst_Conv_Cost11"/>
      <sheetName val="Fcst_EQU11"/>
      <sheetName val="Fcst_Var11"/>
      <sheetName val="JUNFOR_Conv_Cost11"/>
      <sheetName val="Junfor_EQU11"/>
      <sheetName val="Junfor_Var11"/>
      <sheetName val="NYPLAN_Conv_Cost11"/>
      <sheetName val="NYPLAN_Conv_Cost_200911"/>
      <sheetName val="NYPLAN_EQU11"/>
      <sheetName val="NYPLAN_EQU_200911"/>
      <sheetName val="NYPLAN_Var11"/>
      <sheetName val="NYPLAN_Var_200911"/>
      <sheetName val="2006_EQU11"/>
      <sheetName val="YTD_Data11"/>
      <sheetName val="Federal_Taxable_Income11"/>
      <sheetName val="진행_DATA_㌨敮g11"/>
      <sheetName val="삼양통상_(검사)11"/>
      <sheetName val="3_일반사상11"/>
      <sheetName val="Input_Sheet11"/>
      <sheetName val="Auto_Sales11"/>
      <sheetName val="5_WIRE적용LIST11"/>
      <sheetName val="CASE_ASM11"/>
      <sheetName val="Eng_A5_h-Breakd_Des_10"/>
      <sheetName val="Notes_Rec_Retrieve11"/>
      <sheetName val="2__Definitions10"/>
      <sheetName val="126_25510"/>
      <sheetName val="1_2내수10"/>
      <sheetName val="▶FR_LSUPT_PWR10"/>
      <sheetName val="메카(우보접수자료_기준)10"/>
      <sheetName val="내수1_8GL10"/>
      <sheetName val="Sheet6_(3)10"/>
      <sheetName val="61_210_28910"/>
      <sheetName val="계산_DATA_입력10"/>
      <sheetName val="TEMP_TORQUE11"/>
      <sheetName val="협력사_일반현황10"/>
      <sheetName val="Sheet_010"/>
      <sheetName val="MPL_技連10"/>
      <sheetName val="342E_BLOCK10"/>
      <sheetName val="LCAUTO_410"/>
      <sheetName val="LCAT수_조10"/>
      <sheetName val="Pln_Pdt10"/>
      <sheetName val="Service_Parts_Rejects_(RPPM)10"/>
      <sheetName val="AMORT_Cost10"/>
      <sheetName val="Do_not_print-_input10"/>
      <sheetName val="Parts_Requiring_Orders2"/>
      <sheetName val="Fx_Rates2"/>
      <sheetName val="Eng_A5_h-Breakd_Des_9"/>
      <sheetName val="JT3_0견적-구113"/>
      <sheetName val="Production_Plan113"/>
      <sheetName val="full_(2)13"/>
      <sheetName val="JT3_0??-?113"/>
      <sheetName val="Cost_Reduction13"/>
      <sheetName val="Assump_&amp;_Issues_FY07_pg2_12"/>
      <sheetName val="by_plant12"/>
      <sheetName val="R_Prgr_Fin_Data12"/>
      <sheetName val="S_P12"/>
      <sheetName val="JT3_0__-_113"/>
      <sheetName val="Volume_Flex12"/>
      <sheetName val="Costed_BOM_2ndR_40%12"/>
      <sheetName val="GB-IC_Villingen_GG12"/>
      <sheetName val="544NPZEV_858N_QAPP12"/>
      <sheetName val="WCF,_SG&amp;A12"/>
      <sheetName val="Rejects_PPM12"/>
      <sheetName val="Pwrchk_SHEET12"/>
      <sheetName val="상세_계산_내역12"/>
      <sheetName val="PRO_(참조)12"/>
      <sheetName val="외주현황_wq112"/>
      <sheetName val="FUEL_FILLER12"/>
      <sheetName val="Process_Cost12"/>
      <sheetName val="BOM_TOP12"/>
      <sheetName val="진행_DATA_(2)12"/>
      <sheetName val="Data(Don't_del)12"/>
      <sheetName val="NI_Input12"/>
      <sheetName val="2_대외공문12"/>
      <sheetName val="GM_change12"/>
      <sheetName val="Fcst_Conv_Cost12"/>
      <sheetName val="Fcst_EQU12"/>
      <sheetName val="Fcst_Var12"/>
      <sheetName val="JUNFOR_Conv_Cost12"/>
      <sheetName val="Junfor_EQU12"/>
      <sheetName val="Junfor_Var12"/>
      <sheetName val="NYPLAN_Conv_Cost12"/>
      <sheetName val="NYPLAN_Conv_Cost_200912"/>
      <sheetName val="NYPLAN_EQU12"/>
      <sheetName val="NYPLAN_EQU_200912"/>
      <sheetName val="NYPLAN_Var12"/>
      <sheetName val="NYPLAN_Var_200912"/>
      <sheetName val="2006_EQU12"/>
      <sheetName val="YTD_Data12"/>
      <sheetName val="Federal_Taxable_Income12"/>
      <sheetName val="진행_DATA_㌨敮g12"/>
      <sheetName val="삼양통상_(검사)12"/>
      <sheetName val="3_일반사상12"/>
      <sheetName val="Input_Sheet12"/>
      <sheetName val="Auto_Sales12"/>
      <sheetName val="5_WIRE적용LIST12"/>
      <sheetName val="CASE_ASM12"/>
      <sheetName val="Eng_A5_h-Breakd_Des_11"/>
      <sheetName val="Notes_Rec_Retrieve12"/>
      <sheetName val="2__Definitions11"/>
      <sheetName val="126_25511"/>
      <sheetName val="1_2내수11"/>
      <sheetName val="▶FR_LSUPT_PWR11"/>
      <sheetName val="메카(우보접수자료_기준)11"/>
      <sheetName val="내수1_8GL11"/>
      <sheetName val="Sheet6_(3)11"/>
      <sheetName val="61_210_28911"/>
      <sheetName val="계산_DATA_입력11"/>
      <sheetName val="TEMP_TORQUE12"/>
      <sheetName val="협력사_일반현황11"/>
      <sheetName val="Sheet_011"/>
      <sheetName val="MPL_技連11"/>
      <sheetName val="342E_BLOCK11"/>
      <sheetName val="LCAUTO_411"/>
      <sheetName val="LCAT수_조11"/>
      <sheetName val="Pln_Pdt11"/>
      <sheetName val="Service_Parts_Rejects_(RPPM)11"/>
      <sheetName val="AMORT_Cost11"/>
      <sheetName val="Do_not_print-_input11"/>
      <sheetName val="Parts_Requiring_Orders3"/>
      <sheetName val="After_Sales_Supplier_#'s3"/>
      <sheetName val="KG_일반용_원사3"/>
      <sheetName val="장기재료비개선_집계표3"/>
      <sheetName val="OPT손익_내수3"/>
      <sheetName val="OPT손익_수출3"/>
      <sheetName val="CODE_LIST3"/>
      <sheetName val="Manual_Inputs3"/>
      <sheetName val="NO_13"/>
      <sheetName val="General_info3"/>
      <sheetName val="2-2_매출분석3"/>
      <sheetName val="Ⅲ-1_판매편성방향3"/>
      <sheetName val="VAR_DAC3"/>
      <sheetName val="PACKING_SLIP3"/>
      <sheetName val="Fx_Rates3"/>
      <sheetName val="FY99 Volume"/>
      <sheetName val="KMT물량"/>
    </sheetNames>
    <sheetDataSet>
      <sheetData sheetId="0" refreshError="1">
        <row r="1">
          <cell r="A1">
            <v>0</v>
          </cell>
        </row>
        <row r="2">
          <cell r="AA2">
            <v>35509.416516319441</v>
          </cell>
        </row>
        <row r="3">
          <cell r="AA3">
            <v>35509.416516319441</v>
          </cell>
        </row>
        <row r="4">
          <cell r="A4" t="str">
            <v xml:space="preserve">   구분</v>
          </cell>
          <cell r="B4">
            <v>0</v>
          </cell>
          <cell r="C4">
            <v>0</v>
          </cell>
          <cell r="D4" t="str">
            <v>SUFIX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 t="str">
            <v>SUFIX</v>
          </cell>
        </row>
        <row r="5">
          <cell r="C5" t="str">
            <v>부번</v>
          </cell>
          <cell r="D5" t="str">
            <v>NO.</v>
          </cell>
          <cell r="E5">
            <v>0</v>
          </cell>
          <cell r="F5">
            <v>0</v>
          </cell>
          <cell r="G5">
            <v>0</v>
          </cell>
          <cell r="H5" t="str">
            <v>품명</v>
          </cell>
          <cell r="I5" t="str">
            <v>재료비</v>
          </cell>
          <cell r="J5">
            <v>0</v>
          </cell>
          <cell r="K5">
            <v>0</v>
          </cell>
          <cell r="L5">
            <v>0</v>
          </cell>
          <cell r="M5" t="str">
            <v>재료</v>
          </cell>
          <cell r="N5">
            <v>0</v>
          </cell>
          <cell r="O5" t="str">
            <v>가공비</v>
          </cell>
          <cell r="P5">
            <v>0</v>
          </cell>
          <cell r="Q5">
            <v>0</v>
          </cell>
          <cell r="R5">
            <v>0</v>
          </cell>
          <cell r="S5" t="str">
            <v>형구</v>
          </cell>
          <cell r="T5" t="str">
            <v>제조원가</v>
          </cell>
          <cell r="U5" t="str">
            <v>관리비</v>
          </cell>
          <cell r="V5" t="str">
            <v>견적가</v>
          </cell>
          <cell r="W5" t="str">
            <v>비고</v>
          </cell>
          <cell r="X5">
            <v>0</v>
          </cell>
          <cell r="Y5">
            <v>0</v>
          </cell>
          <cell r="Z5" t="str">
            <v>NEGO 예상가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 t="str">
            <v>부번</v>
          </cell>
          <cell r="AN5" t="str">
            <v>NO.</v>
          </cell>
          <cell r="AO5">
            <v>0</v>
          </cell>
          <cell r="AP5">
            <v>0</v>
          </cell>
          <cell r="AQ5">
            <v>0</v>
          </cell>
          <cell r="AR5" t="str">
            <v>품명</v>
          </cell>
          <cell r="AS5" t="str">
            <v>조사책정가</v>
          </cell>
          <cell r="AT5">
            <v>0</v>
          </cell>
          <cell r="AU5">
            <v>0</v>
          </cell>
          <cell r="AV5">
            <v>0</v>
          </cell>
          <cell r="AW5" t="str">
            <v>형구비</v>
          </cell>
        </row>
        <row r="6">
          <cell r="A6" t="str">
            <v>차종</v>
          </cell>
          <cell r="B6" t="str">
            <v>GRA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 t="str">
            <v>자작</v>
          </cell>
          <cell r="J6" t="str">
            <v>외주</v>
          </cell>
          <cell r="K6" t="str">
            <v>도입</v>
          </cell>
          <cell r="L6" t="str">
            <v>소계</v>
          </cell>
          <cell r="M6" t="str">
            <v>관리비</v>
          </cell>
          <cell r="N6" t="str">
            <v>FRAME</v>
          </cell>
          <cell r="O6" t="str">
            <v>포장</v>
          </cell>
          <cell r="P6" t="str">
            <v>PAD</v>
          </cell>
          <cell r="Q6" t="str">
            <v>TRIM</v>
          </cell>
          <cell r="R6" t="str">
            <v>소계</v>
          </cell>
          <cell r="S6" t="str">
            <v>상각비</v>
          </cell>
          <cell r="T6">
            <v>0</v>
          </cell>
          <cell r="U6" t="str">
            <v>이윤</v>
          </cell>
          <cell r="V6">
            <v>0</v>
          </cell>
          <cell r="W6">
            <v>0</v>
          </cell>
          <cell r="X6">
            <v>0</v>
          </cell>
          <cell r="Y6" t="str">
            <v>KIA</v>
          </cell>
          <cell r="Z6" t="str">
            <v>요구가</v>
          </cell>
          <cell r="AA6">
            <v>0</v>
          </cell>
          <cell r="AB6">
            <v>0</v>
          </cell>
          <cell r="AC6" t="str">
            <v>요구가SUB</v>
          </cell>
          <cell r="AD6">
            <v>0</v>
          </cell>
          <cell r="AE6" t="str">
            <v>TRIM</v>
          </cell>
          <cell r="AF6">
            <v>0</v>
          </cell>
          <cell r="AG6">
            <v>0</v>
          </cell>
          <cell r="AH6">
            <v>0</v>
          </cell>
          <cell r="AI6" t="str">
            <v>PAD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 t="str">
            <v>국내(D)</v>
          </cell>
          <cell r="AT6" t="str">
            <v>수출(E)</v>
          </cell>
          <cell r="AU6">
            <v>0</v>
          </cell>
          <cell r="AV6" t="str">
            <v>상각</v>
          </cell>
          <cell r="AW6" t="str">
            <v>자산화</v>
          </cell>
          <cell r="AX6" t="str">
            <v>소계</v>
          </cell>
        </row>
        <row r="7">
          <cell r="B7" t="str">
            <v xml:space="preserve"> -DE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 t="str">
            <v>재료비</v>
          </cell>
          <cell r="AF7" t="str">
            <v>가공비</v>
          </cell>
          <cell r="AG7" t="str">
            <v>부품가</v>
          </cell>
          <cell r="AH7">
            <v>0</v>
          </cell>
          <cell r="AI7" t="str">
            <v>재료비</v>
          </cell>
          <cell r="AJ7" t="str">
            <v>가공비</v>
          </cell>
          <cell r="AK7" t="str">
            <v>부품가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 t="str">
            <v>재료비</v>
          </cell>
          <cell r="AR7" t="str">
            <v>가공비</v>
          </cell>
          <cell r="AS7" t="str">
            <v>부품가</v>
          </cell>
        </row>
        <row r="8">
          <cell r="A8" t="str">
            <v>12P</v>
          </cell>
          <cell r="B8" t="str">
            <v>LTD</v>
          </cell>
          <cell r="C8" t="str">
            <v>K75A 57 100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SEAT FRT.LH</v>
          </cell>
          <cell r="I8">
            <v>17246.7</v>
          </cell>
          <cell r="J8">
            <v>26777.600000000002</v>
          </cell>
          <cell r="K8">
            <v>0</v>
          </cell>
          <cell r="L8">
            <v>44024.3</v>
          </cell>
          <cell r="M8">
            <v>1052.953</v>
          </cell>
          <cell r="N8">
            <v>1213.2</v>
          </cell>
          <cell r="O8">
            <v>2556</v>
          </cell>
          <cell r="P8">
            <v>2562.7999999999997</v>
          </cell>
          <cell r="Q8">
            <v>4036.5</v>
          </cell>
          <cell r="R8">
            <v>10368.5</v>
          </cell>
          <cell r="S8">
            <v>83.6</v>
          </cell>
          <cell r="T8">
            <v>55529.353000000003</v>
          </cell>
          <cell r="U8">
            <v>8330.6469999999972</v>
          </cell>
          <cell r="V8">
            <v>63860</v>
          </cell>
          <cell r="W8">
            <v>0</v>
          </cell>
          <cell r="X8">
            <v>0</v>
          </cell>
          <cell r="Y8">
            <v>59970</v>
          </cell>
          <cell r="Z8">
            <v>64080</v>
          </cell>
          <cell r="AA8">
            <v>0</v>
          </cell>
          <cell r="AB8">
            <v>0</v>
          </cell>
          <cell r="AC8">
            <v>48060.800000000003</v>
          </cell>
          <cell r="AD8">
            <v>0</v>
          </cell>
          <cell r="AE8">
            <v>15215.3</v>
          </cell>
          <cell r="AF8">
            <v>4036.5</v>
          </cell>
          <cell r="AG8">
            <v>19251.8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 t="str">
            <v>K72A 57 100A</v>
          </cell>
          <cell r="AN8" t="str">
            <v>B</v>
          </cell>
          <cell r="AO8" t="str">
            <v>D</v>
          </cell>
          <cell r="AP8" t="str">
            <v>E</v>
          </cell>
          <cell r="AQ8">
            <v>0</v>
          </cell>
          <cell r="AR8" t="str">
            <v>SEAT FRT.LH</v>
          </cell>
          <cell r="AS8">
            <v>63500</v>
          </cell>
          <cell r="AT8">
            <v>60320</v>
          </cell>
          <cell r="AU8">
            <v>0</v>
          </cell>
          <cell r="AV8">
            <v>83.6</v>
          </cell>
          <cell r="AW8">
            <v>1354</v>
          </cell>
          <cell r="AX8">
            <v>1437.6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 t="str">
            <v>K72A 57 100A</v>
          </cell>
          <cell r="CB8" t="str">
            <v>B</v>
          </cell>
          <cell r="CC8" t="str">
            <v>D</v>
          </cell>
          <cell r="CD8" t="str">
            <v>E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>SEAT FRT.LH</v>
          </cell>
          <cell r="CO8">
            <v>63500</v>
          </cell>
          <cell r="CP8">
            <v>60320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83.6</v>
          </cell>
          <cell r="DA8">
            <v>1354</v>
          </cell>
          <cell r="DB8">
            <v>1437.6</v>
          </cell>
        </row>
        <row r="9">
          <cell r="C9" t="str">
            <v>K75A 57 200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SEAT FRT.RH</v>
          </cell>
          <cell r="I9">
            <v>26479.100000000002</v>
          </cell>
          <cell r="J9">
            <v>75617.399999999994</v>
          </cell>
          <cell r="K9">
            <v>0</v>
          </cell>
          <cell r="L9">
            <v>102096.5</v>
          </cell>
          <cell r="M9">
            <v>2306.721</v>
          </cell>
          <cell r="N9">
            <v>1213.2</v>
          </cell>
          <cell r="O9">
            <v>4152.6000000000004</v>
          </cell>
          <cell r="P9">
            <v>4172</v>
          </cell>
          <cell r="Q9">
            <v>6308.9</v>
          </cell>
          <cell r="R9">
            <v>15846.699999999999</v>
          </cell>
          <cell r="S9">
            <v>410.7</v>
          </cell>
          <cell r="T9">
            <v>120660.621</v>
          </cell>
          <cell r="U9">
            <v>18099.379000000001</v>
          </cell>
          <cell r="V9">
            <v>138760</v>
          </cell>
          <cell r="W9">
            <v>0</v>
          </cell>
          <cell r="X9">
            <v>0</v>
          </cell>
          <cell r="Y9">
            <v>130310</v>
          </cell>
          <cell r="Z9">
            <v>144540</v>
          </cell>
          <cell r="AA9">
            <v>0</v>
          </cell>
          <cell r="AB9">
            <v>0</v>
          </cell>
          <cell r="AC9">
            <v>108405.4</v>
          </cell>
          <cell r="AD9">
            <v>0</v>
          </cell>
          <cell r="AE9">
            <v>23658.2</v>
          </cell>
          <cell r="AF9">
            <v>6308.9</v>
          </cell>
          <cell r="AG9">
            <v>29967.1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 t="str">
            <v>K72A 57 200B</v>
          </cell>
          <cell r="AN9" t="str">
            <v>E</v>
          </cell>
          <cell r="AO9" t="str">
            <v>G</v>
          </cell>
          <cell r="AP9" t="str">
            <v>H</v>
          </cell>
          <cell r="AQ9">
            <v>0</v>
          </cell>
          <cell r="AR9" t="str">
            <v>SEAT FRT.RH</v>
          </cell>
          <cell r="AS9">
            <v>135070</v>
          </cell>
          <cell r="AT9">
            <v>128320</v>
          </cell>
          <cell r="AU9">
            <v>0</v>
          </cell>
          <cell r="AV9">
            <v>410.7</v>
          </cell>
          <cell r="AW9">
            <v>1359.2</v>
          </cell>
          <cell r="AX9">
            <v>1769.9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 t="str">
            <v>K72A 57 200B</v>
          </cell>
          <cell r="CB9" t="str">
            <v>E</v>
          </cell>
          <cell r="CC9" t="str">
            <v>G</v>
          </cell>
          <cell r="CD9" t="str">
            <v>H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>SEAT FRT.RH</v>
          </cell>
          <cell r="CO9">
            <v>135070</v>
          </cell>
          <cell r="CP9">
            <v>128320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410.7</v>
          </cell>
          <cell r="DA9">
            <v>1359.2</v>
          </cell>
          <cell r="DB9">
            <v>1769.9</v>
          </cell>
        </row>
        <row r="10">
          <cell r="C10" t="str">
            <v>K75A 57 300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SEAT REAR.1st</v>
          </cell>
          <cell r="I10">
            <v>34202.300000000003</v>
          </cell>
          <cell r="J10">
            <v>116305.90000000001</v>
          </cell>
          <cell r="K10">
            <v>0</v>
          </cell>
          <cell r="L10">
            <v>150508.20000000001</v>
          </cell>
          <cell r="M10">
            <v>3352.1870000000004</v>
          </cell>
          <cell r="N10">
            <v>0</v>
          </cell>
          <cell r="O10">
            <v>6368.4</v>
          </cell>
          <cell r="P10">
            <v>5924.24</v>
          </cell>
          <cell r="Q10">
            <v>6009.9</v>
          </cell>
          <cell r="R10">
            <v>18302.54</v>
          </cell>
          <cell r="S10">
            <v>974.9</v>
          </cell>
          <cell r="T10">
            <v>173137.82700000002</v>
          </cell>
          <cell r="U10">
            <v>25972.172999999981</v>
          </cell>
          <cell r="V10">
            <v>199110</v>
          </cell>
          <cell r="W10">
            <v>0</v>
          </cell>
          <cell r="X10">
            <v>0</v>
          </cell>
          <cell r="Y10">
            <v>186990</v>
          </cell>
          <cell r="Z10">
            <v>212440</v>
          </cell>
          <cell r="AA10">
            <v>0</v>
          </cell>
          <cell r="AB10">
            <v>0</v>
          </cell>
          <cell r="AC10">
            <v>159331.22000000003</v>
          </cell>
          <cell r="AD10">
            <v>0</v>
          </cell>
          <cell r="AE10">
            <v>29830.6</v>
          </cell>
          <cell r="AF10">
            <v>6009.9</v>
          </cell>
          <cell r="AG10">
            <v>35840.5</v>
          </cell>
          <cell r="AH10">
            <v>0</v>
          </cell>
          <cell r="AI10">
            <v>4075.7</v>
          </cell>
          <cell r="AJ10">
            <v>2813.12</v>
          </cell>
          <cell r="AK10">
            <v>6888.82</v>
          </cell>
          <cell r="AL10">
            <v>0</v>
          </cell>
          <cell r="AM10" t="str">
            <v>K72A 57 300A</v>
          </cell>
          <cell r="AN10" t="str">
            <v>C</v>
          </cell>
          <cell r="AO10" t="str">
            <v>E</v>
          </cell>
          <cell r="AP10" t="str">
            <v>F</v>
          </cell>
          <cell r="AQ10" t="str">
            <v>G</v>
          </cell>
          <cell r="AR10" t="str">
            <v>SEAT REAR.1st</v>
          </cell>
          <cell r="AS10">
            <v>193400</v>
          </cell>
          <cell r="AT10">
            <v>183730</v>
          </cell>
          <cell r="AU10">
            <v>0</v>
          </cell>
          <cell r="AV10">
            <v>974.9</v>
          </cell>
          <cell r="AW10">
            <v>3341.6</v>
          </cell>
          <cell r="AX10">
            <v>4316.5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183730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974.9</v>
          </cell>
          <cell r="BU10">
            <v>3341.6</v>
          </cell>
          <cell r="BV10">
            <v>4316.5</v>
          </cell>
        </row>
        <row r="11">
          <cell r="C11" t="str">
            <v>K75A 57 400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SEAT REAR.2nd</v>
          </cell>
          <cell r="I11">
            <v>39825.5</v>
          </cell>
          <cell r="J11">
            <v>110792.90000000001</v>
          </cell>
          <cell r="K11">
            <v>0</v>
          </cell>
          <cell r="L11">
            <v>150618.40000000002</v>
          </cell>
          <cell r="M11">
            <v>3410.623</v>
          </cell>
          <cell r="N11">
            <v>0</v>
          </cell>
          <cell r="O11">
            <v>7675.2</v>
          </cell>
          <cell r="P11">
            <v>5483.2</v>
          </cell>
          <cell r="Q11">
            <v>6637.8</v>
          </cell>
          <cell r="R11">
            <v>19796.2</v>
          </cell>
          <cell r="S11">
            <v>169.7</v>
          </cell>
          <cell r="T11">
            <v>173994.92300000004</v>
          </cell>
          <cell r="U11">
            <v>26095.076999999961</v>
          </cell>
          <cell r="V11">
            <v>200090</v>
          </cell>
          <cell r="W11">
            <v>0</v>
          </cell>
          <cell r="X11">
            <v>0</v>
          </cell>
          <cell r="Y11">
            <v>187910</v>
          </cell>
          <cell r="Z11">
            <v>213570</v>
          </cell>
          <cell r="AA11">
            <v>0</v>
          </cell>
          <cell r="AB11">
            <v>0</v>
          </cell>
          <cell r="AC11">
            <v>160176.60000000003</v>
          </cell>
          <cell r="AD11">
            <v>0</v>
          </cell>
          <cell r="AE11">
            <v>35432.6</v>
          </cell>
          <cell r="AF11">
            <v>6637.8</v>
          </cell>
          <cell r="AG11">
            <v>42070.400000000001</v>
          </cell>
          <cell r="AH11">
            <v>0</v>
          </cell>
          <cell r="AI11">
            <v>4287.2</v>
          </cell>
          <cell r="AJ11">
            <v>2920.4</v>
          </cell>
          <cell r="AK11">
            <v>7207.6</v>
          </cell>
          <cell r="AL11">
            <v>0</v>
          </cell>
          <cell r="AM11" t="str">
            <v>K72A 57 400A</v>
          </cell>
          <cell r="AN11" t="str">
            <v>C</v>
          </cell>
          <cell r="AO11" t="str">
            <v>D</v>
          </cell>
          <cell r="AP11" t="str">
            <v>E</v>
          </cell>
          <cell r="AQ11" t="str">
            <v>F</v>
          </cell>
          <cell r="AR11" t="str">
            <v>SEAT REAR.2nd</v>
          </cell>
          <cell r="AS11">
            <v>193660</v>
          </cell>
          <cell r="AT11">
            <v>183970</v>
          </cell>
          <cell r="AU11">
            <v>0</v>
          </cell>
          <cell r="AV11">
            <v>169.7</v>
          </cell>
          <cell r="AW11">
            <v>4078.1</v>
          </cell>
          <cell r="AX11">
            <v>4247.8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183970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169.7</v>
          </cell>
          <cell r="BU11">
            <v>4078.1</v>
          </cell>
          <cell r="BV11">
            <v>4247.8</v>
          </cell>
        </row>
        <row r="12">
          <cell r="C12" t="str">
            <v>K75A 57 500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SEAT REAR.3rd</v>
          </cell>
          <cell r="I12">
            <v>31178.699999999997</v>
          </cell>
          <cell r="J12">
            <v>50446.3</v>
          </cell>
          <cell r="K12">
            <v>0</v>
          </cell>
          <cell r="L12">
            <v>81625</v>
          </cell>
          <cell r="M12">
            <v>1944.2869999999998</v>
          </cell>
          <cell r="N12">
            <v>0</v>
          </cell>
          <cell r="O12">
            <v>5013</v>
          </cell>
          <cell r="P12">
            <v>7020.880000000001</v>
          </cell>
          <cell r="Q12">
            <v>4978.3999999999996</v>
          </cell>
          <cell r="R12">
            <v>17012.28</v>
          </cell>
          <cell r="S12">
            <v>60.3</v>
          </cell>
          <cell r="T12">
            <v>100641.867</v>
          </cell>
          <cell r="U12">
            <v>15098.133000000002</v>
          </cell>
          <cell r="V12">
            <v>115740</v>
          </cell>
          <cell r="W12">
            <v>0</v>
          </cell>
          <cell r="X12">
            <v>0</v>
          </cell>
          <cell r="Y12">
            <v>108690</v>
          </cell>
          <cell r="Z12">
            <v>120240</v>
          </cell>
          <cell r="AA12">
            <v>0</v>
          </cell>
          <cell r="AB12">
            <v>0</v>
          </cell>
          <cell r="AC12">
            <v>90179.4</v>
          </cell>
          <cell r="AD12">
            <v>0</v>
          </cell>
          <cell r="AE12">
            <v>24762.1</v>
          </cell>
          <cell r="AF12">
            <v>4978.3999999999996</v>
          </cell>
          <cell r="AG12">
            <v>29740.5</v>
          </cell>
          <cell r="AH12">
            <v>0</v>
          </cell>
          <cell r="AI12">
            <v>5181</v>
          </cell>
          <cell r="AJ12">
            <v>3576</v>
          </cell>
          <cell r="AK12">
            <v>8757</v>
          </cell>
          <cell r="AL12">
            <v>0</v>
          </cell>
          <cell r="AM12" t="str">
            <v>K72A 57 500A</v>
          </cell>
          <cell r="AN12" t="str">
            <v>C</v>
          </cell>
          <cell r="AO12" t="str">
            <v>E</v>
          </cell>
          <cell r="AP12" t="str">
            <v>F</v>
          </cell>
          <cell r="AQ12">
            <v>0</v>
          </cell>
          <cell r="AR12" t="str">
            <v>SEAT REAR.3rd</v>
          </cell>
          <cell r="AS12">
            <v>114500</v>
          </cell>
          <cell r="AT12">
            <v>108770</v>
          </cell>
          <cell r="AU12">
            <v>0</v>
          </cell>
          <cell r="AV12">
            <v>60.3</v>
          </cell>
          <cell r="AW12">
            <v>1594.5</v>
          </cell>
          <cell r="AX12">
            <v>1654.8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 t="str">
            <v>SEAT REAR.3rd</v>
          </cell>
          <cell r="BQ12">
            <v>114500</v>
          </cell>
          <cell r="BR12">
            <v>108770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60.3</v>
          </cell>
          <cell r="CC12">
            <v>1594.5</v>
          </cell>
          <cell r="CD12">
            <v>1654.8</v>
          </cell>
        </row>
        <row r="13">
          <cell r="H13" t="str">
            <v>소계</v>
          </cell>
          <cell r="I13">
            <v>148932.29999999999</v>
          </cell>
          <cell r="J13">
            <v>379940.10000000003</v>
          </cell>
          <cell r="K13">
            <v>0</v>
          </cell>
          <cell r="L13">
            <v>528872.4</v>
          </cell>
          <cell r="M13">
            <v>12066.771000000001</v>
          </cell>
          <cell r="N13">
            <v>2426.4</v>
          </cell>
          <cell r="O13">
            <v>25765.200000000001</v>
          </cell>
          <cell r="P13">
            <v>25163.119999999999</v>
          </cell>
          <cell r="Q13">
            <v>27971.5</v>
          </cell>
          <cell r="R13">
            <v>81326.22</v>
          </cell>
          <cell r="S13">
            <v>1699.1999999999998</v>
          </cell>
          <cell r="T13">
            <v>623964.59100000001</v>
          </cell>
          <cell r="U13">
            <v>93595.408999999941</v>
          </cell>
          <cell r="V13">
            <v>717560</v>
          </cell>
          <cell r="W13">
            <v>0</v>
          </cell>
          <cell r="X13">
            <v>0</v>
          </cell>
          <cell r="Y13">
            <v>673870</v>
          </cell>
          <cell r="Z13">
            <v>754870</v>
          </cell>
          <cell r="AA13">
            <v>0</v>
          </cell>
          <cell r="AB13">
            <v>0</v>
          </cell>
          <cell r="AC13">
            <v>566153.52</v>
          </cell>
          <cell r="AD13">
            <v>0</v>
          </cell>
          <cell r="AE13">
            <v>128898.7</v>
          </cell>
          <cell r="AF13">
            <v>27971.5</v>
          </cell>
          <cell r="AG13">
            <v>156870.29999999999</v>
          </cell>
          <cell r="AH13">
            <v>0</v>
          </cell>
          <cell r="AI13">
            <v>13543.9</v>
          </cell>
          <cell r="AJ13">
            <v>9309.52</v>
          </cell>
          <cell r="AK13">
            <v>22853.42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 t="str">
            <v>소계</v>
          </cell>
          <cell r="AS13">
            <v>700130</v>
          </cell>
          <cell r="AT13">
            <v>665110</v>
          </cell>
          <cell r="AU13">
            <v>0</v>
          </cell>
          <cell r="AV13">
            <v>1699.1999999999998</v>
          </cell>
          <cell r="AW13">
            <v>11727.4</v>
          </cell>
          <cell r="AX13">
            <v>13426.599999999999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 t="str">
            <v>소계</v>
          </cell>
          <cell r="CW13">
            <v>700130</v>
          </cell>
          <cell r="CX13">
            <v>665110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1699.1999999999998</v>
          </cell>
          <cell r="DI13">
            <v>11727.4</v>
          </cell>
          <cell r="DJ13">
            <v>13426.599999999999</v>
          </cell>
        </row>
        <row r="14">
          <cell r="B14" t="str">
            <v>EST</v>
          </cell>
          <cell r="C14" t="str">
            <v>K75B 57 100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SEAT FRT.LH</v>
          </cell>
          <cell r="I14">
            <v>13194.2</v>
          </cell>
          <cell r="J14">
            <v>25850.7</v>
          </cell>
          <cell r="K14">
            <v>0</v>
          </cell>
          <cell r="L14">
            <v>39044.9</v>
          </cell>
          <cell r="M14">
            <v>912.84</v>
          </cell>
          <cell r="N14">
            <v>1197</v>
          </cell>
          <cell r="O14">
            <v>2494.8000000000002</v>
          </cell>
          <cell r="P14">
            <v>2562.7999999999997</v>
          </cell>
          <cell r="Q14">
            <v>4425.2</v>
          </cell>
          <cell r="R14">
            <v>10679.8</v>
          </cell>
          <cell r="S14">
            <v>83.6</v>
          </cell>
          <cell r="T14">
            <v>50721.139999999992</v>
          </cell>
          <cell r="U14">
            <v>7608.8600000000079</v>
          </cell>
          <cell r="V14">
            <v>58330</v>
          </cell>
          <cell r="W14">
            <v>0</v>
          </cell>
          <cell r="X14">
            <v>0</v>
          </cell>
          <cell r="Y14">
            <v>54780</v>
          </cell>
          <cell r="Z14">
            <v>57960</v>
          </cell>
          <cell r="AA14">
            <v>0</v>
          </cell>
          <cell r="AB14">
            <v>0</v>
          </cell>
          <cell r="AC14">
            <v>43470.1</v>
          </cell>
          <cell r="AD14">
            <v>0</v>
          </cell>
          <cell r="AE14">
            <v>8604.9</v>
          </cell>
          <cell r="AF14">
            <v>4425.2</v>
          </cell>
          <cell r="AG14">
            <v>13030.099999999999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 t="str">
            <v>K72B 57 100A</v>
          </cell>
          <cell r="AN14" t="str">
            <v>C</v>
          </cell>
          <cell r="AO14" t="str">
            <v>D</v>
          </cell>
          <cell r="AP14">
            <v>0</v>
          </cell>
          <cell r="AQ14">
            <v>0</v>
          </cell>
          <cell r="AR14" t="str">
            <v>SEAT FRT.LH</v>
          </cell>
          <cell r="AS14">
            <v>55300</v>
          </cell>
          <cell r="AT14">
            <v>52530</v>
          </cell>
          <cell r="AU14">
            <v>0</v>
          </cell>
          <cell r="AV14">
            <v>83.6</v>
          </cell>
          <cell r="AW14">
            <v>1310</v>
          </cell>
          <cell r="AX14">
            <v>1393.6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K72B 57 100A</v>
          </cell>
          <cell r="BL14" t="str">
            <v>C</v>
          </cell>
          <cell r="BM14" t="str">
            <v>D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str">
            <v>SEAT FRT.LH</v>
          </cell>
          <cell r="CG14">
            <v>55300</v>
          </cell>
          <cell r="CH14">
            <v>52530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83.6</v>
          </cell>
          <cell r="CS14">
            <v>1310</v>
          </cell>
          <cell r="CT14">
            <v>1393.6</v>
          </cell>
        </row>
        <row r="15">
          <cell r="C15" t="str">
            <v>K75B 57 200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 t="str">
            <v>SEAT FRT.RH</v>
          </cell>
          <cell r="I15">
            <v>19936.199999999997</v>
          </cell>
          <cell r="J15">
            <v>75530.5</v>
          </cell>
          <cell r="K15">
            <v>0</v>
          </cell>
          <cell r="L15">
            <v>95466.7</v>
          </cell>
          <cell r="M15">
            <v>2108.6959999999999</v>
          </cell>
          <cell r="N15">
            <v>1197</v>
          </cell>
          <cell r="O15">
            <v>4152.6000000000004</v>
          </cell>
          <cell r="P15">
            <v>4172</v>
          </cell>
          <cell r="Q15">
            <v>6936.8</v>
          </cell>
          <cell r="R15">
            <v>16458.400000000001</v>
          </cell>
          <cell r="S15">
            <v>410.7</v>
          </cell>
          <cell r="T15">
            <v>114444.496</v>
          </cell>
          <cell r="U15">
            <v>17165.504000000001</v>
          </cell>
          <cell r="V15">
            <v>131610</v>
          </cell>
          <cell r="W15">
            <v>0</v>
          </cell>
          <cell r="X15">
            <v>0</v>
          </cell>
          <cell r="Y15">
            <v>123600</v>
          </cell>
          <cell r="Z15">
            <v>136540</v>
          </cell>
          <cell r="AA15">
            <v>0</v>
          </cell>
          <cell r="AB15">
            <v>0</v>
          </cell>
          <cell r="AC15">
            <v>102403.5</v>
          </cell>
          <cell r="AD15">
            <v>0</v>
          </cell>
          <cell r="AE15">
            <v>13823.1</v>
          </cell>
          <cell r="AF15">
            <v>6936.8</v>
          </cell>
          <cell r="AG15">
            <v>20759.900000000001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 t="str">
            <v>K72B 57 200A</v>
          </cell>
          <cell r="AN15" t="str">
            <v>D</v>
          </cell>
          <cell r="AO15" t="str">
            <v>F</v>
          </cell>
          <cell r="AP15" t="str">
            <v>G</v>
          </cell>
          <cell r="AQ15" t="str">
            <v>H</v>
          </cell>
          <cell r="AR15" t="str">
            <v>SEAT FRT.RH</v>
          </cell>
          <cell r="AS15">
            <v>124540</v>
          </cell>
          <cell r="AT15">
            <v>118310</v>
          </cell>
          <cell r="AU15">
            <v>0</v>
          </cell>
          <cell r="AV15">
            <v>410.7</v>
          </cell>
          <cell r="AW15">
            <v>1359.2</v>
          </cell>
          <cell r="AX15">
            <v>1769.9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str">
            <v>K72B 57 200A</v>
          </cell>
          <cell r="BL15" t="str">
            <v>D</v>
          </cell>
          <cell r="BM15" t="str">
            <v>F</v>
          </cell>
          <cell r="BN15" t="str">
            <v>G</v>
          </cell>
          <cell r="BO15" t="str">
            <v>H</v>
          </cell>
          <cell r="BP15" t="str">
            <v>SEAT FRT.RH</v>
          </cell>
          <cell r="BQ15">
            <v>124540</v>
          </cell>
          <cell r="BR15">
            <v>118310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410.7</v>
          </cell>
          <cell r="CC15">
            <v>1359.2</v>
          </cell>
          <cell r="CD15">
            <v>1769.9</v>
          </cell>
        </row>
        <row r="16">
          <cell r="C16" t="str">
            <v>K75B 57 300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SEAT REAR.1st</v>
          </cell>
          <cell r="I16">
            <v>28242.600000000002</v>
          </cell>
          <cell r="J16">
            <v>116332.1</v>
          </cell>
          <cell r="K16">
            <v>0</v>
          </cell>
          <cell r="L16">
            <v>144574.70000000001</v>
          </cell>
          <cell r="M16">
            <v>3173.92</v>
          </cell>
          <cell r="N16">
            <v>0</v>
          </cell>
          <cell r="O16">
            <v>6368.4</v>
          </cell>
          <cell r="P16">
            <v>5924.24</v>
          </cell>
          <cell r="Q16">
            <v>6622.9</v>
          </cell>
          <cell r="R16">
            <v>18915.54</v>
          </cell>
          <cell r="S16">
            <v>974.9</v>
          </cell>
          <cell r="T16">
            <v>167639.06000000003</v>
          </cell>
          <cell r="U16">
            <v>25140.939999999973</v>
          </cell>
          <cell r="V16">
            <v>192780</v>
          </cell>
          <cell r="W16">
            <v>0</v>
          </cell>
          <cell r="X16">
            <v>0</v>
          </cell>
          <cell r="Y16">
            <v>181050</v>
          </cell>
          <cell r="Z16">
            <v>205350</v>
          </cell>
          <cell r="AA16">
            <v>0</v>
          </cell>
          <cell r="AB16">
            <v>0</v>
          </cell>
          <cell r="AC16">
            <v>154010.72000000003</v>
          </cell>
          <cell r="AD16">
            <v>0</v>
          </cell>
          <cell r="AE16">
            <v>19389.8</v>
          </cell>
          <cell r="AF16">
            <v>6622.9</v>
          </cell>
          <cell r="AG16">
            <v>26012.699999999997</v>
          </cell>
          <cell r="AH16">
            <v>0</v>
          </cell>
          <cell r="AI16">
            <v>4075.7</v>
          </cell>
          <cell r="AJ16">
            <v>2813.12</v>
          </cell>
          <cell r="AK16">
            <v>6888.82</v>
          </cell>
          <cell r="AL16">
            <v>0</v>
          </cell>
          <cell r="AM16" t="str">
            <v>K72B 57 300B</v>
          </cell>
          <cell r="AN16" t="str">
            <v>D</v>
          </cell>
          <cell r="AO16" t="str">
            <v>E</v>
          </cell>
          <cell r="AP16" t="str">
            <v>F</v>
          </cell>
          <cell r="AQ16">
            <v>0</v>
          </cell>
          <cell r="AR16" t="str">
            <v>SEAT REAR.1st</v>
          </cell>
          <cell r="AS16">
            <v>182160</v>
          </cell>
          <cell r="AT16">
            <v>173060</v>
          </cell>
          <cell r="AU16">
            <v>0</v>
          </cell>
          <cell r="AV16">
            <v>974.9</v>
          </cell>
          <cell r="AW16">
            <v>3341.6</v>
          </cell>
          <cell r="AX16">
            <v>4316.5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 t="str">
            <v>SEAT REAR.1st</v>
          </cell>
          <cell r="BQ16">
            <v>182160</v>
          </cell>
          <cell r="BR16">
            <v>173060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974.9</v>
          </cell>
          <cell r="CC16">
            <v>3341.6</v>
          </cell>
          <cell r="CD16">
            <v>4316.5</v>
          </cell>
        </row>
        <row r="17">
          <cell r="C17" t="str">
            <v>K75B 57 400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SEAT REAR.2nd</v>
          </cell>
          <cell r="I17">
            <v>33959.199999999997</v>
          </cell>
          <cell r="J17">
            <v>91930.5</v>
          </cell>
          <cell r="K17">
            <v>0</v>
          </cell>
          <cell r="L17">
            <v>125889.7</v>
          </cell>
          <cell r="M17">
            <v>2857.386</v>
          </cell>
          <cell r="N17">
            <v>0</v>
          </cell>
          <cell r="O17">
            <v>7675.2</v>
          </cell>
          <cell r="P17">
            <v>6055.36</v>
          </cell>
          <cell r="Q17">
            <v>7310.6</v>
          </cell>
          <cell r="R17">
            <v>21041.16</v>
          </cell>
          <cell r="S17">
            <v>169.4</v>
          </cell>
          <cell r="T17">
            <v>149957.64599999998</v>
          </cell>
          <cell r="U17">
            <v>22492.354000000021</v>
          </cell>
          <cell r="V17">
            <v>172450</v>
          </cell>
          <cell r="W17">
            <v>0</v>
          </cell>
          <cell r="X17">
            <v>0</v>
          </cell>
          <cell r="Y17">
            <v>161950</v>
          </cell>
          <cell r="Z17">
            <v>182260</v>
          </cell>
          <cell r="AA17">
            <v>0</v>
          </cell>
          <cell r="AB17">
            <v>0</v>
          </cell>
          <cell r="AC17">
            <v>136692.86000000002</v>
          </cell>
          <cell r="AD17">
            <v>0</v>
          </cell>
          <cell r="AE17">
            <v>25907.5</v>
          </cell>
          <cell r="AF17">
            <v>7310.6</v>
          </cell>
          <cell r="AG17">
            <v>33218.1</v>
          </cell>
          <cell r="AH17">
            <v>0</v>
          </cell>
          <cell r="AI17">
            <v>5116.2</v>
          </cell>
          <cell r="AJ17">
            <v>3492.5600000000004</v>
          </cell>
          <cell r="AK17">
            <v>8608.76</v>
          </cell>
          <cell r="AL17">
            <v>0</v>
          </cell>
          <cell r="AM17" t="str">
            <v>K72B 57 400A</v>
          </cell>
          <cell r="AN17" t="str">
            <v>C</v>
          </cell>
          <cell r="AO17" t="str">
            <v>E</v>
          </cell>
          <cell r="AP17" t="str">
            <v>F</v>
          </cell>
          <cell r="AQ17" t="str">
            <v>G</v>
          </cell>
          <cell r="AR17" t="str">
            <v>SEAT REAR.2nd</v>
          </cell>
          <cell r="AS17">
            <v>163930</v>
          </cell>
          <cell r="AT17">
            <v>155730</v>
          </cell>
          <cell r="AU17">
            <v>0</v>
          </cell>
          <cell r="AV17">
            <v>169.4</v>
          </cell>
          <cell r="AW17">
            <v>3371.9</v>
          </cell>
          <cell r="AX17">
            <v>3541.3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155730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169.4</v>
          </cell>
          <cell r="BU17">
            <v>3371.9</v>
          </cell>
          <cell r="BV17">
            <v>3541.3</v>
          </cell>
        </row>
        <row r="18">
          <cell r="C18" t="str">
            <v>K75B 57 500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str">
            <v>SEAT REAR.3rd</v>
          </cell>
          <cell r="I18">
            <v>26977.5</v>
          </cell>
          <cell r="J18">
            <v>50492.5</v>
          </cell>
          <cell r="K18">
            <v>0</v>
          </cell>
          <cell r="L18">
            <v>77470</v>
          </cell>
          <cell r="M18">
            <v>1819.175</v>
          </cell>
          <cell r="N18">
            <v>0</v>
          </cell>
          <cell r="O18">
            <v>5013</v>
          </cell>
          <cell r="P18">
            <v>7020.880000000001</v>
          </cell>
          <cell r="Q18">
            <v>5486.7</v>
          </cell>
          <cell r="R18">
            <v>17520.580000000002</v>
          </cell>
          <cell r="S18">
            <v>60.3</v>
          </cell>
          <cell r="T18">
            <v>96870.055000000008</v>
          </cell>
          <cell r="U18">
            <v>14529.944999999992</v>
          </cell>
          <cell r="V18">
            <v>111400</v>
          </cell>
          <cell r="W18">
            <v>0</v>
          </cell>
          <cell r="X18">
            <v>0</v>
          </cell>
          <cell r="Y18">
            <v>104620</v>
          </cell>
          <cell r="Z18">
            <v>115380</v>
          </cell>
          <cell r="AA18">
            <v>0</v>
          </cell>
          <cell r="AB18">
            <v>0</v>
          </cell>
          <cell r="AC18">
            <v>86532.7</v>
          </cell>
          <cell r="AD18">
            <v>0</v>
          </cell>
          <cell r="AE18">
            <v>16445.099999999999</v>
          </cell>
          <cell r="AF18">
            <v>5486.7</v>
          </cell>
          <cell r="AG18">
            <v>21931.8</v>
          </cell>
          <cell r="AH18">
            <v>0</v>
          </cell>
          <cell r="AI18">
            <v>5181</v>
          </cell>
          <cell r="AJ18">
            <v>3576</v>
          </cell>
          <cell r="AK18">
            <v>8757</v>
          </cell>
          <cell r="AL18">
            <v>0</v>
          </cell>
          <cell r="AM18" t="str">
            <v>K72B 57 500C</v>
          </cell>
          <cell r="AN18" t="str">
            <v>E</v>
          </cell>
          <cell r="AO18" t="str">
            <v>F</v>
          </cell>
          <cell r="AP18">
            <v>0</v>
          </cell>
          <cell r="AQ18">
            <v>0</v>
          </cell>
          <cell r="AR18" t="str">
            <v>SEAT REAR.3rd</v>
          </cell>
          <cell r="AS18">
            <v>105530</v>
          </cell>
          <cell r="AT18">
            <v>100250</v>
          </cell>
          <cell r="AU18">
            <v>0</v>
          </cell>
          <cell r="AV18">
            <v>60.3</v>
          </cell>
          <cell r="AW18">
            <v>1594.5</v>
          </cell>
          <cell r="AX18">
            <v>1654.8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 t="str">
            <v>SEAT REAR.3rd</v>
          </cell>
          <cell r="BY18">
            <v>105530</v>
          </cell>
          <cell r="BZ18">
            <v>100250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60.3</v>
          </cell>
          <cell r="CK18">
            <v>1594.5</v>
          </cell>
          <cell r="CL18">
            <v>1654.8</v>
          </cell>
        </row>
        <row r="19">
          <cell r="H19" t="str">
            <v>소계</v>
          </cell>
          <cell r="I19">
            <v>122309.7</v>
          </cell>
          <cell r="J19">
            <v>360136.3</v>
          </cell>
          <cell r="K19">
            <v>0</v>
          </cell>
          <cell r="L19">
            <v>482446.00000000006</v>
          </cell>
          <cell r="M19">
            <v>10872.017</v>
          </cell>
          <cell r="N19">
            <v>2394</v>
          </cell>
          <cell r="O19">
            <v>25704</v>
          </cell>
          <cell r="P19">
            <v>25735.279999999999</v>
          </cell>
          <cell r="Q19">
            <v>30782.2</v>
          </cell>
          <cell r="R19">
            <v>84615.48000000001</v>
          </cell>
          <cell r="S19">
            <v>1698.8999999999999</v>
          </cell>
          <cell r="T19">
            <v>579632.397</v>
          </cell>
          <cell r="U19">
            <v>86937.602999999988</v>
          </cell>
          <cell r="V19">
            <v>666570</v>
          </cell>
          <cell r="W19">
            <v>0</v>
          </cell>
          <cell r="X19">
            <v>0</v>
          </cell>
          <cell r="Y19">
            <v>626000</v>
          </cell>
          <cell r="Z19">
            <v>697490</v>
          </cell>
          <cell r="AA19">
            <v>0</v>
          </cell>
          <cell r="AB19">
            <v>0</v>
          </cell>
          <cell r="AC19">
            <v>523109.88000000006</v>
          </cell>
          <cell r="AD19">
            <v>0</v>
          </cell>
          <cell r="AE19">
            <v>84170.4</v>
          </cell>
          <cell r="AF19">
            <v>30782.2</v>
          </cell>
          <cell r="AG19">
            <v>114952.59999999999</v>
          </cell>
          <cell r="AH19">
            <v>0</v>
          </cell>
          <cell r="AI19">
            <v>14372.9</v>
          </cell>
          <cell r="AJ19">
            <v>9881.68</v>
          </cell>
          <cell r="AK19">
            <v>24254.58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 t="str">
            <v>소계</v>
          </cell>
          <cell r="AS19">
            <v>631460</v>
          </cell>
          <cell r="AT19">
            <v>599880</v>
          </cell>
          <cell r="AU19">
            <v>0</v>
          </cell>
          <cell r="AV19">
            <v>1698.8999999999999</v>
          </cell>
          <cell r="AW19">
            <v>10977.199999999999</v>
          </cell>
          <cell r="AX19">
            <v>12676.099999999999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 t="str">
            <v>소계</v>
          </cell>
          <cell r="CW19">
            <v>631460</v>
          </cell>
          <cell r="CX19">
            <v>599880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1698.8999999999999</v>
          </cell>
          <cell r="DI19">
            <v>10977.199999999999</v>
          </cell>
          <cell r="DJ19">
            <v>12676.099999999999</v>
          </cell>
        </row>
        <row r="20">
          <cell r="A20" t="str">
            <v>11P</v>
          </cell>
          <cell r="B20" t="str">
            <v>LTD</v>
          </cell>
          <cell r="C20" t="str">
            <v>K75A 57 100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SEAT FRT.LH</v>
          </cell>
          <cell r="I20">
            <v>17246.7</v>
          </cell>
          <cell r="J20">
            <v>26777.600000000002</v>
          </cell>
          <cell r="K20">
            <v>0</v>
          </cell>
          <cell r="L20">
            <v>44024.3</v>
          </cell>
          <cell r="M20">
            <v>1052.953</v>
          </cell>
          <cell r="N20">
            <v>1213.2</v>
          </cell>
          <cell r="O20">
            <v>2556</v>
          </cell>
          <cell r="P20">
            <v>2562.7999999999997</v>
          </cell>
          <cell r="Q20">
            <v>4036.5</v>
          </cell>
          <cell r="R20">
            <v>10368.5</v>
          </cell>
          <cell r="S20">
            <v>83.6</v>
          </cell>
          <cell r="T20">
            <v>55529.353000000003</v>
          </cell>
          <cell r="U20">
            <v>8330.6469999999972</v>
          </cell>
          <cell r="V20">
            <v>63860</v>
          </cell>
          <cell r="W20">
            <v>0</v>
          </cell>
          <cell r="X20">
            <v>0</v>
          </cell>
          <cell r="Y20">
            <v>59970</v>
          </cell>
          <cell r="Z20">
            <v>64080</v>
          </cell>
          <cell r="AA20">
            <v>0</v>
          </cell>
          <cell r="AB20">
            <v>0</v>
          </cell>
          <cell r="AC20">
            <v>48060.800000000003</v>
          </cell>
          <cell r="AD20">
            <v>0</v>
          </cell>
          <cell r="AE20">
            <v>15215.3</v>
          </cell>
          <cell r="AF20">
            <v>4036.5</v>
          </cell>
          <cell r="AG20">
            <v>19251.8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 t="str">
            <v>K72A 57 100A</v>
          </cell>
          <cell r="AN20" t="str">
            <v>B</v>
          </cell>
          <cell r="AO20" t="str">
            <v>D</v>
          </cell>
          <cell r="AP20" t="str">
            <v>E</v>
          </cell>
          <cell r="AQ20">
            <v>0</v>
          </cell>
          <cell r="AR20" t="str">
            <v>SEAT FRT.LH</v>
          </cell>
          <cell r="AS20">
            <v>63500</v>
          </cell>
          <cell r="AT20">
            <v>60320</v>
          </cell>
          <cell r="AU20">
            <v>0</v>
          </cell>
          <cell r="AV20">
            <v>83.6</v>
          </cell>
          <cell r="AW20">
            <v>1354</v>
          </cell>
          <cell r="AX20">
            <v>1437.6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 t="str">
            <v>K72A 57 100A</v>
          </cell>
          <cell r="BT20" t="str">
            <v>B</v>
          </cell>
          <cell r="BU20" t="str">
            <v>D</v>
          </cell>
          <cell r="BV20" t="str">
            <v>E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str">
            <v>SEAT FRT.LH</v>
          </cell>
          <cell r="CG20">
            <v>63500</v>
          </cell>
          <cell r="CH20">
            <v>60320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83.6</v>
          </cell>
          <cell r="CS20">
            <v>1354</v>
          </cell>
          <cell r="CT20">
            <v>1437.6</v>
          </cell>
        </row>
        <row r="21">
          <cell r="C21" t="str">
            <v>K75F 57 200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SEAT FRT.RH</v>
          </cell>
          <cell r="I21">
            <v>17919</v>
          </cell>
          <cell r="J21">
            <v>79828.399999999994</v>
          </cell>
          <cell r="K21">
            <v>0</v>
          </cell>
          <cell r="L21">
            <v>97747.4</v>
          </cell>
          <cell r="M21">
            <v>2134.1379999999999</v>
          </cell>
          <cell r="N21">
            <v>1213.2</v>
          </cell>
          <cell r="O21">
            <v>3258</v>
          </cell>
          <cell r="P21">
            <v>2527.04</v>
          </cell>
          <cell r="Q21">
            <v>4171.1000000000004</v>
          </cell>
          <cell r="R21">
            <v>11169.34</v>
          </cell>
          <cell r="S21">
            <v>369.5</v>
          </cell>
          <cell r="T21">
            <v>111420.378</v>
          </cell>
          <cell r="U21">
            <v>16709.622000000003</v>
          </cell>
          <cell r="V21">
            <v>128130</v>
          </cell>
          <cell r="W21">
            <v>0</v>
          </cell>
          <cell r="X21">
            <v>0</v>
          </cell>
          <cell r="Y21">
            <v>120330</v>
          </cell>
          <cell r="Z21">
            <v>135890</v>
          </cell>
          <cell r="AA21">
            <v>0</v>
          </cell>
          <cell r="AB21">
            <v>0</v>
          </cell>
          <cell r="AC21">
            <v>101918.5</v>
          </cell>
          <cell r="AD21">
            <v>0</v>
          </cell>
          <cell r="AE21">
            <v>17076.400000000001</v>
          </cell>
          <cell r="AF21">
            <v>4171.1000000000004</v>
          </cell>
          <cell r="AG21">
            <v>21247.5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 t="str">
            <v>K72G 57 200A</v>
          </cell>
          <cell r="AN21" t="str">
            <v>B</v>
          </cell>
          <cell r="AO21" t="str">
            <v>D</v>
          </cell>
          <cell r="AP21" t="str">
            <v>E</v>
          </cell>
          <cell r="AQ21">
            <v>0</v>
          </cell>
          <cell r="AR21" t="str">
            <v>SEAT FRT.RH</v>
          </cell>
          <cell r="AS21">
            <v>124410</v>
          </cell>
          <cell r="AT21">
            <v>118190</v>
          </cell>
          <cell r="AU21">
            <v>0</v>
          </cell>
          <cell r="AV21">
            <v>369.5</v>
          </cell>
          <cell r="AW21">
            <v>6535.6</v>
          </cell>
          <cell r="AX21">
            <v>6905.1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 t="str">
            <v>K72G 57 200A</v>
          </cell>
          <cell r="BT21" t="str">
            <v>B</v>
          </cell>
          <cell r="BU21" t="str">
            <v>D</v>
          </cell>
          <cell r="BV21" t="str">
            <v>E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str">
            <v>SEAT FRT.RH</v>
          </cell>
          <cell r="CG21">
            <v>124410</v>
          </cell>
          <cell r="CH21">
            <v>118190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369.5</v>
          </cell>
          <cell r="CS21">
            <v>6535.6</v>
          </cell>
          <cell r="CT21">
            <v>6905.1</v>
          </cell>
        </row>
        <row r="22">
          <cell r="C22" t="str">
            <v>K75A 57 300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SEAT REAR.1st</v>
          </cell>
          <cell r="I22">
            <v>34202.300000000003</v>
          </cell>
          <cell r="J22">
            <v>116305.90000000001</v>
          </cell>
          <cell r="K22">
            <v>0</v>
          </cell>
          <cell r="L22">
            <v>150508.20000000001</v>
          </cell>
          <cell r="M22">
            <v>3352.1870000000004</v>
          </cell>
          <cell r="N22">
            <v>0</v>
          </cell>
          <cell r="O22">
            <v>6368.4</v>
          </cell>
          <cell r="P22">
            <v>5924.24</v>
          </cell>
          <cell r="Q22">
            <v>6009.9</v>
          </cell>
          <cell r="R22">
            <v>18302.54</v>
          </cell>
          <cell r="S22">
            <v>974.9</v>
          </cell>
          <cell r="T22">
            <v>173137.82700000002</v>
          </cell>
          <cell r="U22">
            <v>25972.172999999981</v>
          </cell>
          <cell r="V22">
            <v>199110</v>
          </cell>
          <cell r="W22">
            <v>0</v>
          </cell>
          <cell r="X22">
            <v>0</v>
          </cell>
          <cell r="Y22">
            <v>186990</v>
          </cell>
          <cell r="Z22">
            <v>212440</v>
          </cell>
          <cell r="AA22">
            <v>0</v>
          </cell>
          <cell r="AB22">
            <v>0</v>
          </cell>
          <cell r="AC22">
            <v>159331.22000000003</v>
          </cell>
          <cell r="AD22">
            <v>0</v>
          </cell>
          <cell r="AE22">
            <v>29830.6</v>
          </cell>
          <cell r="AF22">
            <v>6009.9</v>
          </cell>
          <cell r="AG22">
            <v>35840.5</v>
          </cell>
          <cell r="AH22">
            <v>0</v>
          </cell>
          <cell r="AI22">
            <v>4075.7</v>
          </cell>
          <cell r="AJ22">
            <v>2813.12</v>
          </cell>
          <cell r="AK22">
            <v>6888.82</v>
          </cell>
          <cell r="AL22">
            <v>0</v>
          </cell>
          <cell r="AM22" t="str">
            <v>K72A 57 300A</v>
          </cell>
          <cell r="AN22" t="str">
            <v>C</v>
          </cell>
          <cell r="AO22" t="str">
            <v>E</v>
          </cell>
          <cell r="AP22" t="str">
            <v>F</v>
          </cell>
          <cell r="AQ22" t="str">
            <v>G</v>
          </cell>
          <cell r="AR22" t="str">
            <v>SEAT REAR.1st</v>
          </cell>
          <cell r="AS22">
            <v>193400</v>
          </cell>
          <cell r="AT22">
            <v>183730</v>
          </cell>
          <cell r="AU22">
            <v>0</v>
          </cell>
          <cell r="AV22">
            <v>974.9</v>
          </cell>
          <cell r="AW22">
            <v>3341.6</v>
          </cell>
          <cell r="AX22">
            <v>4316.5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183730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974.9</v>
          </cell>
          <cell r="BU22">
            <v>3341.6</v>
          </cell>
          <cell r="BV22">
            <v>4316.5</v>
          </cell>
        </row>
        <row r="23">
          <cell r="C23" t="str">
            <v>K75A 57 400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SEAT REAR.2nd</v>
          </cell>
          <cell r="I23">
            <v>39825.5</v>
          </cell>
          <cell r="J23">
            <v>110792.90000000001</v>
          </cell>
          <cell r="K23">
            <v>0</v>
          </cell>
          <cell r="L23">
            <v>150618.40000000002</v>
          </cell>
          <cell r="M23">
            <v>3410.623</v>
          </cell>
          <cell r="N23">
            <v>0</v>
          </cell>
          <cell r="O23">
            <v>7675.2</v>
          </cell>
          <cell r="P23">
            <v>5483.2</v>
          </cell>
          <cell r="Q23">
            <v>6637.8</v>
          </cell>
          <cell r="R23">
            <v>19796.2</v>
          </cell>
          <cell r="S23">
            <v>169.7</v>
          </cell>
          <cell r="T23">
            <v>173994.92300000004</v>
          </cell>
          <cell r="U23">
            <v>26095.076999999961</v>
          </cell>
          <cell r="V23">
            <v>200090</v>
          </cell>
          <cell r="W23">
            <v>0</v>
          </cell>
          <cell r="X23">
            <v>0</v>
          </cell>
          <cell r="Y23">
            <v>187910</v>
          </cell>
          <cell r="Z23">
            <v>213570</v>
          </cell>
          <cell r="AA23">
            <v>0</v>
          </cell>
          <cell r="AB23">
            <v>0</v>
          </cell>
          <cell r="AC23">
            <v>160176.60000000003</v>
          </cell>
          <cell r="AD23">
            <v>0</v>
          </cell>
          <cell r="AE23">
            <v>35432.6</v>
          </cell>
          <cell r="AF23">
            <v>6637.8</v>
          </cell>
          <cell r="AG23">
            <v>42070.400000000001</v>
          </cell>
          <cell r="AH23">
            <v>0</v>
          </cell>
          <cell r="AI23">
            <v>4287.2</v>
          </cell>
          <cell r="AJ23">
            <v>2920.4</v>
          </cell>
          <cell r="AK23">
            <v>7207.6</v>
          </cell>
          <cell r="AL23">
            <v>0</v>
          </cell>
          <cell r="AM23" t="str">
            <v>K72A 57 400A</v>
          </cell>
          <cell r="AN23" t="str">
            <v>C</v>
          </cell>
          <cell r="AO23" t="str">
            <v>D</v>
          </cell>
          <cell r="AP23" t="str">
            <v>E</v>
          </cell>
          <cell r="AQ23" t="str">
            <v>F</v>
          </cell>
          <cell r="AR23" t="str">
            <v>SEAT REAR.2nd</v>
          </cell>
          <cell r="AS23">
            <v>193660</v>
          </cell>
          <cell r="AT23">
            <v>183970</v>
          </cell>
          <cell r="AU23">
            <v>0</v>
          </cell>
          <cell r="AV23">
            <v>169.7</v>
          </cell>
          <cell r="AW23">
            <v>4078.1</v>
          </cell>
          <cell r="AX23">
            <v>4247.8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183970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169.7</v>
          </cell>
          <cell r="BU23">
            <v>4078.1</v>
          </cell>
          <cell r="BV23">
            <v>4247.8</v>
          </cell>
        </row>
        <row r="24">
          <cell r="C24" t="str">
            <v>K75A 57 500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SEAT REAR.3rd</v>
          </cell>
          <cell r="I24">
            <v>31178.699999999997</v>
          </cell>
          <cell r="J24">
            <v>50446.3</v>
          </cell>
          <cell r="K24">
            <v>0</v>
          </cell>
          <cell r="L24">
            <v>81625</v>
          </cell>
          <cell r="M24">
            <v>1944.2869999999998</v>
          </cell>
          <cell r="N24">
            <v>0</v>
          </cell>
          <cell r="O24">
            <v>5013</v>
          </cell>
          <cell r="P24">
            <v>7020.880000000001</v>
          </cell>
          <cell r="Q24">
            <v>4978.3999999999996</v>
          </cell>
          <cell r="R24">
            <v>17012.28</v>
          </cell>
          <cell r="S24">
            <v>60.3</v>
          </cell>
          <cell r="T24">
            <v>100641.867</v>
          </cell>
          <cell r="U24">
            <v>15098.133000000002</v>
          </cell>
          <cell r="V24">
            <v>115740</v>
          </cell>
          <cell r="W24">
            <v>0</v>
          </cell>
          <cell r="X24">
            <v>0</v>
          </cell>
          <cell r="Y24">
            <v>108690</v>
          </cell>
          <cell r="Z24">
            <v>120240</v>
          </cell>
          <cell r="AA24">
            <v>0</v>
          </cell>
          <cell r="AB24">
            <v>0</v>
          </cell>
          <cell r="AC24">
            <v>90179.4</v>
          </cell>
          <cell r="AD24">
            <v>0</v>
          </cell>
          <cell r="AE24">
            <v>24762.1</v>
          </cell>
          <cell r="AF24">
            <v>4978.3999999999996</v>
          </cell>
          <cell r="AG24">
            <v>29740.5</v>
          </cell>
          <cell r="AH24">
            <v>0</v>
          </cell>
          <cell r="AI24">
            <v>5181</v>
          </cell>
          <cell r="AJ24">
            <v>3576</v>
          </cell>
          <cell r="AK24">
            <v>8757</v>
          </cell>
          <cell r="AL24">
            <v>0</v>
          </cell>
          <cell r="AM24" t="str">
            <v>K72A 57 500A</v>
          </cell>
          <cell r="AN24" t="str">
            <v>C</v>
          </cell>
          <cell r="AO24" t="str">
            <v>E</v>
          </cell>
          <cell r="AP24" t="str">
            <v>F</v>
          </cell>
          <cell r="AQ24">
            <v>0</v>
          </cell>
          <cell r="AR24" t="str">
            <v>SEAT REAR.3rd</v>
          </cell>
          <cell r="AS24">
            <v>114500</v>
          </cell>
          <cell r="AT24">
            <v>108770</v>
          </cell>
          <cell r="AU24">
            <v>0</v>
          </cell>
          <cell r="AV24">
            <v>60.3</v>
          </cell>
          <cell r="AW24">
            <v>1594.5</v>
          </cell>
          <cell r="AX24">
            <v>1654.8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 t="str">
            <v>SEAT REAR.3rd</v>
          </cell>
          <cell r="BQ24">
            <v>114500</v>
          </cell>
          <cell r="BR24">
            <v>108770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60.3</v>
          </cell>
          <cell r="CC24">
            <v>1594.5</v>
          </cell>
          <cell r="CD24">
            <v>1654.8</v>
          </cell>
        </row>
        <row r="25">
          <cell r="H25" t="str">
            <v>소계</v>
          </cell>
          <cell r="I25">
            <v>140372.20000000001</v>
          </cell>
          <cell r="J25">
            <v>384151.10000000003</v>
          </cell>
          <cell r="K25">
            <v>0</v>
          </cell>
          <cell r="L25">
            <v>524523.30000000005</v>
          </cell>
          <cell r="M25">
            <v>11894.188</v>
          </cell>
          <cell r="N25">
            <v>2426.4</v>
          </cell>
          <cell r="O25">
            <v>24870.6</v>
          </cell>
          <cell r="P25">
            <v>23518.16</v>
          </cell>
          <cell r="Q25">
            <v>25833.699999999997</v>
          </cell>
          <cell r="R25">
            <v>76648.86</v>
          </cell>
          <cell r="S25">
            <v>1658</v>
          </cell>
          <cell r="T25">
            <v>614724.348</v>
          </cell>
          <cell r="U25">
            <v>92205.651999999944</v>
          </cell>
          <cell r="V25">
            <v>706930</v>
          </cell>
          <cell r="W25">
            <v>0</v>
          </cell>
          <cell r="X25">
            <v>0</v>
          </cell>
          <cell r="Y25">
            <v>663890</v>
          </cell>
          <cell r="Z25">
            <v>746220</v>
          </cell>
          <cell r="AA25">
            <v>0</v>
          </cell>
          <cell r="AB25">
            <v>0</v>
          </cell>
          <cell r="AC25">
            <v>559666.52000000014</v>
          </cell>
          <cell r="AD25">
            <v>0</v>
          </cell>
          <cell r="AE25">
            <v>122317</v>
          </cell>
          <cell r="AF25">
            <v>25833.699999999997</v>
          </cell>
          <cell r="AG25">
            <v>148150.70000000001</v>
          </cell>
          <cell r="AH25">
            <v>0</v>
          </cell>
          <cell r="AI25">
            <v>13543.9</v>
          </cell>
          <cell r="AJ25">
            <v>9309.52</v>
          </cell>
          <cell r="AK25">
            <v>22853.42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 t="str">
            <v>소계</v>
          </cell>
          <cell r="AS25">
            <v>689470</v>
          </cell>
          <cell r="AT25">
            <v>654980</v>
          </cell>
          <cell r="AU25">
            <v>0</v>
          </cell>
          <cell r="AV25">
            <v>1658</v>
          </cell>
          <cell r="AW25">
            <v>16903.800000000003</v>
          </cell>
          <cell r="AX25">
            <v>18561.8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 t="str">
            <v>소계</v>
          </cell>
          <cell r="CW25">
            <v>689470</v>
          </cell>
          <cell r="CX25">
            <v>654980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1658</v>
          </cell>
          <cell r="DI25">
            <v>16903.800000000003</v>
          </cell>
          <cell r="DJ25">
            <v>18561.8</v>
          </cell>
        </row>
        <row r="26">
          <cell r="A26" t="str">
            <v>9P</v>
          </cell>
          <cell r="B26" t="str">
            <v>LTD</v>
          </cell>
          <cell r="C26" t="str">
            <v>K75A 57 100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SEAT FRT.LH</v>
          </cell>
          <cell r="I26">
            <v>17246.7</v>
          </cell>
          <cell r="J26">
            <v>26777.600000000002</v>
          </cell>
          <cell r="K26">
            <v>0</v>
          </cell>
          <cell r="L26">
            <v>44024.3</v>
          </cell>
          <cell r="M26">
            <v>1052.953</v>
          </cell>
          <cell r="N26">
            <v>1213.2</v>
          </cell>
          <cell r="O26">
            <v>2556</v>
          </cell>
          <cell r="P26">
            <v>2562.7999999999997</v>
          </cell>
          <cell r="Q26">
            <v>4036.5</v>
          </cell>
          <cell r="R26">
            <v>10368.5</v>
          </cell>
          <cell r="S26">
            <v>83.6</v>
          </cell>
          <cell r="T26">
            <v>55529.353000000003</v>
          </cell>
          <cell r="U26">
            <v>8330.6469999999972</v>
          </cell>
          <cell r="V26">
            <v>63860</v>
          </cell>
          <cell r="W26">
            <v>0</v>
          </cell>
          <cell r="X26">
            <v>0</v>
          </cell>
          <cell r="Y26">
            <v>59970</v>
          </cell>
          <cell r="Z26">
            <v>64080</v>
          </cell>
          <cell r="AA26">
            <v>0</v>
          </cell>
          <cell r="AB26">
            <v>0</v>
          </cell>
          <cell r="AC26">
            <v>48060.800000000003</v>
          </cell>
          <cell r="AD26">
            <v>0</v>
          </cell>
          <cell r="AE26">
            <v>15215.3</v>
          </cell>
          <cell r="AF26">
            <v>4036.5</v>
          </cell>
          <cell r="AG26">
            <v>19251.8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 t="str">
            <v>K72A 57 100A</v>
          </cell>
          <cell r="AN26" t="str">
            <v>B</v>
          </cell>
          <cell r="AO26" t="str">
            <v>D</v>
          </cell>
          <cell r="AP26" t="str">
            <v>E</v>
          </cell>
          <cell r="AQ26">
            <v>0</v>
          </cell>
          <cell r="AR26" t="str">
            <v>SEAT FRT.LH</v>
          </cell>
          <cell r="AS26">
            <v>63500</v>
          </cell>
          <cell r="AT26">
            <v>60320</v>
          </cell>
          <cell r="AU26">
            <v>0</v>
          </cell>
          <cell r="AV26">
            <v>83.6</v>
          </cell>
          <cell r="AW26">
            <v>1354</v>
          </cell>
          <cell r="AX26">
            <v>1437.6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 t="str">
            <v>SEAT FRT.LH</v>
          </cell>
          <cell r="BQ26">
            <v>63500</v>
          </cell>
          <cell r="BR26">
            <v>60320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83.6</v>
          </cell>
          <cell r="CC26">
            <v>1354</v>
          </cell>
          <cell r="CD26">
            <v>1437.6</v>
          </cell>
        </row>
        <row r="27">
          <cell r="C27" t="str">
            <v>K75A 57 200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SEAT FRT.RH</v>
          </cell>
          <cell r="I27">
            <v>26479.100000000002</v>
          </cell>
          <cell r="J27">
            <v>75617.399999999994</v>
          </cell>
          <cell r="K27">
            <v>0</v>
          </cell>
          <cell r="L27">
            <v>102096.5</v>
          </cell>
          <cell r="M27">
            <v>2306.721</v>
          </cell>
          <cell r="N27">
            <v>1213.2</v>
          </cell>
          <cell r="O27">
            <v>4152.6000000000004</v>
          </cell>
          <cell r="P27">
            <v>4172</v>
          </cell>
          <cell r="Q27">
            <v>6308.9</v>
          </cell>
          <cell r="R27">
            <v>15846.699999999999</v>
          </cell>
          <cell r="S27">
            <v>410.7</v>
          </cell>
          <cell r="T27">
            <v>120660.621</v>
          </cell>
          <cell r="U27">
            <v>18099.379000000001</v>
          </cell>
          <cell r="V27">
            <v>138760</v>
          </cell>
          <cell r="W27">
            <v>0</v>
          </cell>
          <cell r="X27">
            <v>0</v>
          </cell>
          <cell r="Y27">
            <v>130310</v>
          </cell>
          <cell r="Z27">
            <v>144540</v>
          </cell>
          <cell r="AA27">
            <v>0</v>
          </cell>
          <cell r="AB27">
            <v>0</v>
          </cell>
          <cell r="AC27">
            <v>108405.4</v>
          </cell>
          <cell r="AD27">
            <v>0</v>
          </cell>
          <cell r="AE27">
            <v>23658.2</v>
          </cell>
          <cell r="AF27">
            <v>6308.9</v>
          </cell>
          <cell r="AG27">
            <v>29967.1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 t="str">
            <v>K72A 57 200B</v>
          </cell>
          <cell r="AN27" t="str">
            <v>E</v>
          </cell>
          <cell r="AO27" t="str">
            <v>G</v>
          </cell>
          <cell r="AP27" t="str">
            <v>H</v>
          </cell>
          <cell r="AQ27">
            <v>0</v>
          </cell>
          <cell r="AR27" t="str">
            <v>SEAT FRT.RH</v>
          </cell>
          <cell r="AS27">
            <v>135070</v>
          </cell>
          <cell r="AT27">
            <v>128320</v>
          </cell>
          <cell r="AU27">
            <v>0</v>
          </cell>
          <cell r="AV27">
            <v>410.7</v>
          </cell>
          <cell r="AW27">
            <v>1359.2</v>
          </cell>
          <cell r="AX27">
            <v>1769.9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 t="str">
            <v>SEAT FRT.RH</v>
          </cell>
          <cell r="BQ27">
            <v>135070</v>
          </cell>
          <cell r="BR27">
            <v>128320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410.7</v>
          </cell>
          <cell r="CC27">
            <v>1359.2</v>
          </cell>
          <cell r="CD27">
            <v>1769.9</v>
          </cell>
        </row>
        <row r="28">
          <cell r="C28" t="str">
            <v>K75D 57 300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 t="str">
            <v>SEAT REAR.1st</v>
          </cell>
          <cell r="I28">
            <v>34912.400000000001</v>
          </cell>
          <cell r="J28">
            <v>120709.3</v>
          </cell>
          <cell r="K28">
            <v>0</v>
          </cell>
          <cell r="L28">
            <v>155621.70000000001</v>
          </cell>
          <cell r="M28">
            <v>3461.558</v>
          </cell>
          <cell r="N28">
            <v>0</v>
          </cell>
          <cell r="O28">
            <v>6870.6</v>
          </cell>
          <cell r="P28">
            <v>5590.48</v>
          </cell>
          <cell r="Q28">
            <v>7250.8</v>
          </cell>
          <cell r="R28">
            <v>19711.88</v>
          </cell>
          <cell r="S28">
            <v>974.9</v>
          </cell>
          <cell r="T28">
            <v>179770.038</v>
          </cell>
          <cell r="U28">
            <v>26969.962</v>
          </cell>
          <cell r="V28">
            <v>206740</v>
          </cell>
          <cell r="W28">
            <v>0</v>
          </cell>
          <cell r="X28">
            <v>0</v>
          </cell>
          <cell r="Y28">
            <v>194150</v>
          </cell>
          <cell r="Z28">
            <v>220470</v>
          </cell>
          <cell r="AA28">
            <v>0</v>
          </cell>
          <cell r="AB28">
            <v>0</v>
          </cell>
          <cell r="AC28">
            <v>165351.86000000002</v>
          </cell>
          <cell r="AD28">
            <v>0</v>
          </cell>
          <cell r="AE28">
            <v>31808</v>
          </cell>
          <cell r="AF28">
            <v>7250.8</v>
          </cell>
          <cell r="AG28">
            <v>39058.800000000003</v>
          </cell>
          <cell r="AH28">
            <v>0</v>
          </cell>
          <cell r="AI28">
            <v>3592.2</v>
          </cell>
          <cell r="AJ28">
            <v>2479.36</v>
          </cell>
          <cell r="AK28">
            <v>6071.5599999999995</v>
          </cell>
          <cell r="AL28">
            <v>0</v>
          </cell>
          <cell r="AM28" t="str">
            <v>K72E 57 300A</v>
          </cell>
          <cell r="AN28" t="str">
            <v>C</v>
          </cell>
          <cell r="AO28" t="str">
            <v>E</v>
          </cell>
          <cell r="AP28" t="str">
            <v>F</v>
          </cell>
          <cell r="AQ28" t="str">
            <v>G</v>
          </cell>
          <cell r="AR28" t="str">
            <v>SEAT REAR.1st</v>
          </cell>
          <cell r="AS28">
            <v>201180</v>
          </cell>
          <cell r="AT28">
            <v>191120</v>
          </cell>
          <cell r="AU28">
            <v>0</v>
          </cell>
          <cell r="AV28">
            <v>974.9</v>
          </cell>
          <cell r="AW28">
            <v>3457.8</v>
          </cell>
          <cell r="AX28">
            <v>4432.7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191120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974.9</v>
          </cell>
          <cell r="BU28">
            <v>3457.8</v>
          </cell>
          <cell r="BV28">
            <v>4432.7</v>
          </cell>
        </row>
        <row r="29">
          <cell r="C29" t="str">
            <v>K75D 57 400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 t="str">
            <v>SEAT REAR.2nd</v>
          </cell>
          <cell r="I29">
            <v>30778.1</v>
          </cell>
          <cell r="J29">
            <v>70210.3</v>
          </cell>
          <cell r="K29">
            <v>0</v>
          </cell>
          <cell r="L29">
            <v>100988.4</v>
          </cell>
          <cell r="M29">
            <v>2327.549</v>
          </cell>
          <cell r="N29">
            <v>0</v>
          </cell>
          <cell r="O29">
            <v>5013</v>
          </cell>
          <cell r="P29">
            <v>7020.880000000001</v>
          </cell>
          <cell r="Q29">
            <v>4978.3999999999996</v>
          </cell>
          <cell r="R29">
            <v>17012.28</v>
          </cell>
          <cell r="S29">
            <v>0</v>
          </cell>
          <cell r="T29">
            <v>120328.22899999999</v>
          </cell>
          <cell r="U29">
            <v>18051.771000000008</v>
          </cell>
          <cell r="V29">
            <v>138380</v>
          </cell>
          <cell r="W29">
            <v>0</v>
          </cell>
          <cell r="X29">
            <v>0</v>
          </cell>
          <cell r="Y29">
            <v>129950</v>
          </cell>
          <cell r="Z29">
            <v>146060</v>
          </cell>
          <cell r="AA29">
            <v>0</v>
          </cell>
          <cell r="AB29">
            <v>0</v>
          </cell>
          <cell r="AC29">
            <v>109542.79999999999</v>
          </cell>
          <cell r="AD29">
            <v>0</v>
          </cell>
          <cell r="AE29">
            <v>24762.1</v>
          </cell>
          <cell r="AF29">
            <v>4978.3999999999996</v>
          </cell>
          <cell r="AG29">
            <v>29740.5</v>
          </cell>
          <cell r="AH29">
            <v>0</v>
          </cell>
          <cell r="AI29">
            <v>5181</v>
          </cell>
          <cell r="AJ29">
            <v>3576</v>
          </cell>
          <cell r="AK29">
            <v>8757</v>
          </cell>
          <cell r="AL29">
            <v>0</v>
          </cell>
          <cell r="AM29" t="str">
            <v>K72E 57 400A</v>
          </cell>
          <cell r="AN29" t="str">
            <v>B</v>
          </cell>
          <cell r="AO29" t="str">
            <v>D</v>
          </cell>
          <cell r="AP29" t="str">
            <v>E</v>
          </cell>
          <cell r="AQ29">
            <v>0</v>
          </cell>
          <cell r="AR29" t="str">
            <v>SEAT REAR.2nd</v>
          </cell>
          <cell r="AS29">
            <v>135760</v>
          </cell>
          <cell r="AT29">
            <v>128970</v>
          </cell>
          <cell r="AU29">
            <v>0</v>
          </cell>
          <cell r="AV29">
            <v>0</v>
          </cell>
          <cell r="AW29">
            <v>2807.2</v>
          </cell>
          <cell r="AX29">
            <v>2807.2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 t="str">
            <v>SEAT REAR.2nd</v>
          </cell>
          <cell r="BQ29">
            <v>135760</v>
          </cell>
          <cell r="BR29">
            <v>128970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2807.2</v>
          </cell>
          <cell r="CD29">
            <v>2807.2</v>
          </cell>
        </row>
        <row r="30">
          <cell r="H30" t="str">
            <v>소계</v>
          </cell>
          <cell r="I30">
            <v>109416.30000000002</v>
          </cell>
          <cell r="J30">
            <v>293314.59999999998</v>
          </cell>
          <cell r="K30">
            <v>0</v>
          </cell>
          <cell r="L30">
            <v>402730.9</v>
          </cell>
          <cell r="M30">
            <v>9148.780999999999</v>
          </cell>
          <cell r="N30">
            <v>2426.4</v>
          </cell>
          <cell r="O30">
            <v>18592.2</v>
          </cell>
          <cell r="P30">
            <v>19346.16</v>
          </cell>
          <cell r="Q30">
            <v>22574.6</v>
          </cell>
          <cell r="R30">
            <v>62939.360000000001</v>
          </cell>
          <cell r="S30">
            <v>1469.1999999999998</v>
          </cell>
          <cell r="T30">
            <v>476288.24099999998</v>
          </cell>
          <cell r="U30">
            <v>71451.759000000005</v>
          </cell>
          <cell r="V30">
            <v>547740</v>
          </cell>
          <cell r="W30">
            <v>0</v>
          </cell>
          <cell r="X30">
            <v>0</v>
          </cell>
          <cell r="Y30">
            <v>514380</v>
          </cell>
          <cell r="Z30">
            <v>575150</v>
          </cell>
          <cell r="AA30">
            <v>0</v>
          </cell>
          <cell r="AB30">
            <v>0</v>
          </cell>
          <cell r="AC30">
            <v>431360.86000000004</v>
          </cell>
          <cell r="AD30">
            <v>0</v>
          </cell>
          <cell r="AE30">
            <v>95443.5</v>
          </cell>
          <cell r="AF30">
            <v>22574.6</v>
          </cell>
          <cell r="AG30">
            <v>118018.1</v>
          </cell>
          <cell r="AH30">
            <v>0</v>
          </cell>
          <cell r="AI30">
            <v>8773.2000000000007</v>
          </cell>
          <cell r="AJ30">
            <v>6055.3600000000006</v>
          </cell>
          <cell r="AK30">
            <v>14828.560000000001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 t="str">
            <v>소계</v>
          </cell>
          <cell r="AS30">
            <v>535510</v>
          </cell>
          <cell r="AT30">
            <v>508730</v>
          </cell>
          <cell r="AU30">
            <v>0</v>
          </cell>
          <cell r="AV30">
            <v>1469.1999999999998</v>
          </cell>
          <cell r="AW30">
            <v>8978.2000000000007</v>
          </cell>
          <cell r="AX30">
            <v>10447.4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 t="str">
            <v>소계</v>
          </cell>
          <cell r="CW30">
            <v>535510</v>
          </cell>
          <cell r="CX30">
            <v>508730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1469.1999999999998</v>
          </cell>
          <cell r="DI30">
            <v>8978.2000000000007</v>
          </cell>
          <cell r="DJ30">
            <v>10447.4</v>
          </cell>
        </row>
        <row r="31">
          <cell r="B31" t="str">
            <v>EST</v>
          </cell>
          <cell r="C31" t="str">
            <v>K75B 57 100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SEAT FRT.LH</v>
          </cell>
          <cell r="I31">
            <v>13194.2</v>
          </cell>
          <cell r="J31">
            <v>25850.7</v>
          </cell>
          <cell r="K31">
            <v>0</v>
          </cell>
          <cell r="L31">
            <v>39044.9</v>
          </cell>
          <cell r="M31">
            <v>912.84</v>
          </cell>
          <cell r="N31">
            <v>1197</v>
          </cell>
          <cell r="O31">
            <v>2494.8000000000002</v>
          </cell>
          <cell r="P31">
            <v>2562.7999999999997</v>
          </cell>
          <cell r="Q31">
            <v>4425.2</v>
          </cell>
          <cell r="R31">
            <v>10679.8</v>
          </cell>
          <cell r="S31">
            <v>83.6</v>
          </cell>
          <cell r="T31">
            <v>50721.139999999992</v>
          </cell>
          <cell r="U31">
            <v>7608.8600000000079</v>
          </cell>
          <cell r="V31">
            <v>58330</v>
          </cell>
          <cell r="W31">
            <v>0</v>
          </cell>
          <cell r="X31">
            <v>0</v>
          </cell>
          <cell r="Y31">
            <v>54780</v>
          </cell>
          <cell r="Z31">
            <v>57960</v>
          </cell>
          <cell r="AA31">
            <v>0</v>
          </cell>
          <cell r="AB31">
            <v>0</v>
          </cell>
          <cell r="AC31">
            <v>43470.1</v>
          </cell>
          <cell r="AD31">
            <v>0</v>
          </cell>
          <cell r="AE31">
            <v>8604.9</v>
          </cell>
          <cell r="AF31">
            <v>4425.2</v>
          </cell>
          <cell r="AG31">
            <v>13030.099999999999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 t="str">
            <v>K72B 57 100A</v>
          </cell>
          <cell r="AN31" t="str">
            <v>C</v>
          </cell>
          <cell r="AO31" t="str">
            <v>D</v>
          </cell>
          <cell r="AP31">
            <v>0</v>
          </cell>
          <cell r="AQ31">
            <v>0</v>
          </cell>
          <cell r="AR31" t="str">
            <v>SEAT FRT.LH</v>
          </cell>
          <cell r="AS31">
            <v>55300</v>
          </cell>
          <cell r="AT31">
            <v>52530</v>
          </cell>
          <cell r="AU31">
            <v>0</v>
          </cell>
          <cell r="AV31">
            <v>83.6</v>
          </cell>
          <cell r="AW31">
            <v>1310</v>
          </cell>
          <cell r="AX31">
            <v>1393.6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 t="str">
            <v>SEAT FRT.LH</v>
          </cell>
          <cell r="BY31">
            <v>55300</v>
          </cell>
          <cell r="BZ31">
            <v>52530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83.6</v>
          </cell>
          <cell r="CK31">
            <v>1310</v>
          </cell>
          <cell r="CL31">
            <v>1393.6</v>
          </cell>
        </row>
        <row r="32">
          <cell r="C32" t="str">
            <v>K75B 57 200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SEAT FRT.RH</v>
          </cell>
          <cell r="I32">
            <v>19936.199999999997</v>
          </cell>
          <cell r="J32">
            <v>75530.5</v>
          </cell>
          <cell r="K32">
            <v>0</v>
          </cell>
          <cell r="L32">
            <v>95466.7</v>
          </cell>
          <cell r="M32">
            <v>2108.6959999999999</v>
          </cell>
          <cell r="N32">
            <v>1197</v>
          </cell>
          <cell r="O32">
            <v>4152.6000000000004</v>
          </cell>
          <cell r="P32">
            <v>4172</v>
          </cell>
          <cell r="Q32">
            <v>6936.8</v>
          </cell>
          <cell r="R32">
            <v>16458.400000000001</v>
          </cell>
          <cell r="S32">
            <v>410.7</v>
          </cell>
          <cell r="T32">
            <v>114444.496</v>
          </cell>
          <cell r="U32">
            <v>17165.504000000001</v>
          </cell>
          <cell r="V32">
            <v>131610</v>
          </cell>
          <cell r="W32">
            <v>0</v>
          </cell>
          <cell r="X32">
            <v>0</v>
          </cell>
          <cell r="Y32">
            <v>123600</v>
          </cell>
          <cell r="Z32">
            <v>136540</v>
          </cell>
          <cell r="AA32">
            <v>0</v>
          </cell>
          <cell r="AB32">
            <v>0</v>
          </cell>
          <cell r="AC32">
            <v>102403.5</v>
          </cell>
          <cell r="AD32">
            <v>0</v>
          </cell>
          <cell r="AE32">
            <v>13823.1</v>
          </cell>
          <cell r="AF32">
            <v>6936.8</v>
          </cell>
          <cell r="AG32">
            <v>20759.900000000001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 t="str">
            <v>K72B 57 200A</v>
          </cell>
          <cell r="AN32" t="str">
            <v>D</v>
          </cell>
          <cell r="AO32" t="str">
            <v>F</v>
          </cell>
          <cell r="AP32" t="str">
            <v>G</v>
          </cell>
          <cell r="AQ32">
            <v>0</v>
          </cell>
          <cell r="AR32" t="str">
            <v>SEAT FRT.RH</v>
          </cell>
          <cell r="AS32">
            <v>124540</v>
          </cell>
          <cell r="AT32">
            <v>118310</v>
          </cell>
          <cell r="AU32">
            <v>0</v>
          </cell>
          <cell r="AV32">
            <v>410.7</v>
          </cell>
          <cell r="AW32">
            <v>1359.2</v>
          </cell>
          <cell r="AX32">
            <v>1769.9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 t="str">
            <v>SEAT FRT.RH</v>
          </cell>
          <cell r="BQ32">
            <v>124540</v>
          </cell>
          <cell r="BR32">
            <v>118310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410.7</v>
          </cell>
          <cell r="CC32">
            <v>1359.2</v>
          </cell>
          <cell r="CD32">
            <v>1769.9</v>
          </cell>
        </row>
        <row r="33">
          <cell r="C33" t="str">
            <v>K75E 57 300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SEAT REAR.1st</v>
          </cell>
          <cell r="I33">
            <v>28994.6</v>
          </cell>
          <cell r="J33">
            <v>120735.5</v>
          </cell>
          <cell r="K33">
            <v>0</v>
          </cell>
          <cell r="L33">
            <v>149730.1</v>
          </cell>
          <cell r="M33">
            <v>3284.5479999999998</v>
          </cell>
          <cell r="N33">
            <v>0</v>
          </cell>
          <cell r="O33">
            <v>6870.6</v>
          </cell>
          <cell r="P33">
            <v>5590.48</v>
          </cell>
          <cell r="Q33">
            <v>7983.3</v>
          </cell>
          <cell r="R33">
            <v>20444.38</v>
          </cell>
          <cell r="S33">
            <v>974.9</v>
          </cell>
          <cell r="T33">
            <v>174433.92800000001</v>
          </cell>
          <cell r="U33">
            <v>26166.071999999986</v>
          </cell>
          <cell r="V33">
            <v>200600</v>
          </cell>
          <cell r="W33">
            <v>0</v>
          </cell>
          <cell r="X33">
            <v>0</v>
          </cell>
          <cell r="Y33">
            <v>188390</v>
          </cell>
          <cell r="Z33">
            <v>213590</v>
          </cell>
          <cell r="AA33">
            <v>0</v>
          </cell>
          <cell r="AB33">
            <v>0</v>
          </cell>
          <cell r="AC33">
            <v>160192.76</v>
          </cell>
          <cell r="AD33">
            <v>0</v>
          </cell>
          <cell r="AE33">
            <v>20874.900000000001</v>
          </cell>
          <cell r="AF33">
            <v>7983.3</v>
          </cell>
          <cell r="AG33">
            <v>28858.2</v>
          </cell>
          <cell r="AH33">
            <v>0</v>
          </cell>
          <cell r="AI33">
            <v>3592.2</v>
          </cell>
          <cell r="AJ33">
            <v>2479.36</v>
          </cell>
          <cell r="AK33">
            <v>6071.5599999999995</v>
          </cell>
          <cell r="AL33">
            <v>0</v>
          </cell>
          <cell r="AM33" t="str">
            <v>K72F 57 300B</v>
          </cell>
          <cell r="AN33" t="str">
            <v>D</v>
          </cell>
          <cell r="AO33" t="str">
            <v>E</v>
          </cell>
          <cell r="AP33" t="str">
            <v>F</v>
          </cell>
          <cell r="AQ33">
            <v>0</v>
          </cell>
          <cell r="AR33" t="str">
            <v>SEAT REAR.1st</v>
          </cell>
          <cell r="AS33">
            <v>189520</v>
          </cell>
          <cell r="AT33">
            <v>180040</v>
          </cell>
          <cell r="AU33">
            <v>0</v>
          </cell>
          <cell r="AV33">
            <v>974.9</v>
          </cell>
          <cell r="AW33">
            <v>3357.4</v>
          </cell>
          <cell r="AX33">
            <v>4332.3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 t="str">
            <v>SEAT REAR.1st</v>
          </cell>
          <cell r="BQ33">
            <v>189520</v>
          </cell>
          <cell r="BR33">
            <v>180040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974.9</v>
          </cell>
          <cell r="CC33">
            <v>3357.4</v>
          </cell>
          <cell r="CD33">
            <v>4332.3</v>
          </cell>
        </row>
        <row r="34">
          <cell r="C34" t="str">
            <v>K75E 57 400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SEAT REAR.2nd</v>
          </cell>
          <cell r="I34">
            <v>26576.400000000001</v>
          </cell>
          <cell r="J34">
            <v>70256.5</v>
          </cell>
          <cell r="K34">
            <v>0</v>
          </cell>
          <cell r="L34">
            <v>96832.9</v>
          </cell>
          <cell r="M34">
            <v>2202.422</v>
          </cell>
          <cell r="N34">
            <v>0</v>
          </cell>
          <cell r="O34">
            <v>5013</v>
          </cell>
          <cell r="P34">
            <v>7020.880000000001</v>
          </cell>
          <cell r="Q34">
            <v>5486.7</v>
          </cell>
          <cell r="R34">
            <v>17520.580000000002</v>
          </cell>
          <cell r="S34">
            <v>0</v>
          </cell>
          <cell r="T34">
            <v>116555.902</v>
          </cell>
          <cell r="U34">
            <v>17484.097999999998</v>
          </cell>
          <cell r="V34">
            <v>134040</v>
          </cell>
          <cell r="W34">
            <v>0</v>
          </cell>
          <cell r="X34">
            <v>0</v>
          </cell>
          <cell r="Y34">
            <v>125880</v>
          </cell>
          <cell r="Z34">
            <v>141190</v>
          </cell>
          <cell r="AA34">
            <v>0</v>
          </cell>
          <cell r="AB34">
            <v>0</v>
          </cell>
          <cell r="AC34">
            <v>105895.59999999999</v>
          </cell>
          <cell r="AD34">
            <v>0</v>
          </cell>
          <cell r="AE34">
            <v>16487.599999999999</v>
          </cell>
          <cell r="AF34">
            <v>5486.7</v>
          </cell>
          <cell r="AG34">
            <v>21974.3</v>
          </cell>
          <cell r="AH34">
            <v>0</v>
          </cell>
          <cell r="AI34">
            <v>5181</v>
          </cell>
          <cell r="AJ34">
            <v>3576</v>
          </cell>
          <cell r="AK34">
            <v>8757</v>
          </cell>
          <cell r="AL34">
            <v>0</v>
          </cell>
          <cell r="AM34" t="str">
            <v>K72F 57 400A</v>
          </cell>
          <cell r="AN34" t="str">
            <v>C</v>
          </cell>
          <cell r="AO34" t="str">
            <v>D</v>
          </cell>
          <cell r="AP34">
            <v>0</v>
          </cell>
          <cell r="AQ34">
            <v>0</v>
          </cell>
          <cell r="AR34" t="str">
            <v>SEAT REAR.2nd</v>
          </cell>
          <cell r="AS34">
            <v>126800</v>
          </cell>
          <cell r="AT34">
            <v>120460</v>
          </cell>
          <cell r="AU34">
            <v>0</v>
          </cell>
          <cell r="AV34">
            <v>0</v>
          </cell>
          <cell r="AW34">
            <v>2807.2</v>
          </cell>
          <cell r="AX34">
            <v>2807.2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 t="str">
            <v>SEAT REAR.2nd</v>
          </cell>
          <cell r="BY34">
            <v>126800</v>
          </cell>
          <cell r="BZ34">
            <v>120460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2807.2</v>
          </cell>
          <cell r="CL34">
            <v>2807.2</v>
          </cell>
        </row>
        <row r="35">
          <cell r="H35" t="str">
            <v>소계</v>
          </cell>
          <cell r="I35">
            <v>88701.4</v>
          </cell>
          <cell r="J35">
            <v>292373.2</v>
          </cell>
          <cell r="K35">
            <v>0</v>
          </cell>
          <cell r="L35">
            <v>381074.6</v>
          </cell>
          <cell r="M35">
            <v>8508.5059999999994</v>
          </cell>
          <cell r="N35">
            <v>2394</v>
          </cell>
          <cell r="O35">
            <v>18531</v>
          </cell>
          <cell r="P35">
            <v>19346.16</v>
          </cell>
          <cell r="Q35">
            <v>24832</v>
          </cell>
          <cell r="R35">
            <v>65103.16</v>
          </cell>
          <cell r="S35">
            <v>1469.1999999999998</v>
          </cell>
          <cell r="T35">
            <v>456155.46600000001</v>
          </cell>
          <cell r="U35">
            <v>68424.533999999985</v>
          </cell>
          <cell r="V35">
            <v>524580</v>
          </cell>
          <cell r="W35">
            <v>0</v>
          </cell>
          <cell r="X35">
            <v>0</v>
          </cell>
          <cell r="Y35">
            <v>492650</v>
          </cell>
          <cell r="Z35">
            <v>549280</v>
          </cell>
          <cell r="AA35">
            <v>0</v>
          </cell>
          <cell r="AB35">
            <v>0</v>
          </cell>
          <cell r="AC35">
            <v>411961.95999999996</v>
          </cell>
          <cell r="AD35">
            <v>0</v>
          </cell>
          <cell r="AE35">
            <v>59790.3</v>
          </cell>
          <cell r="AF35">
            <v>24832</v>
          </cell>
          <cell r="AG35">
            <v>84622.3</v>
          </cell>
          <cell r="AH35">
            <v>0</v>
          </cell>
          <cell r="AI35">
            <v>8773.2000000000007</v>
          </cell>
          <cell r="AJ35">
            <v>6055.3600000000006</v>
          </cell>
          <cell r="AK35">
            <v>14828.560000000001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 t="str">
            <v>소계</v>
          </cell>
          <cell r="AS35">
            <v>496160</v>
          </cell>
          <cell r="AT35">
            <v>471340</v>
          </cell>
          <cell r="AU35">
            <v>0</v>
          </cell>
          <cell r="AV35">
            <v>1469.1999999999998</v>
          </cell>
          <cell r="AW35">
            <v>8833.7999999999993</v>
          </cell>
          <cell r="AX35">
            <v>10303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 t="str">
            <v>소계</v>
          </cell>
          <cell r="CW35">
            <v>496160</v>
          </cell>
          <cell r="CX35">
            <v>471340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1469.1999999999998</v>
          </cell>
          <cell r="DI35">
            <v>8833.7999999999993</v>
          </cell>
          <cell r="DJ35">
            <v>10303</v>
          </cell>
        </row>
        <row r="36">
          <cell r="A36" t="str">
            <v>9'P</v>
          </cell>
          <cell r="B36" t="str">
            <v>LTD</v>
          </cell>
          <cell r="C36" t="str">
            <v>K75A 57 100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 t="str">
            <v>SEAT FRT.LH</v>
          </cell>
          <cell r="I36">
            <v>17246.7</v>
          </cell>
          <cell r="J36">
            <v>26777.600000000002</v>
          </cell>
          <cell r="K36">
            <v>0</v>
          </cell>
          <cell r="L36">
            <v>44024.3</v>
          </cell>
          <cell r="M36">
            <v>1052.953</v>
          </cell>
          <cell r="N36">
            <v>1213.2</v>
          </cell>
          <cell r="O36">
            <v>2556</v>
          </cell>
          <cell r="P36">
            <v>2562.7999999999997</v>
          </cell>
          <cell r="Q36">
            <v>4036.5</v>
          </cell>
          <cell r="R36">
            <v>10368.5</v>
          </cell>
          <cell r="S36">
            <v>83.6</v>
          </cell>
          <cell r="T36">
            <v>55529.353000000003</v>
          </cell>
          <cell r="U36">
            <v>8330.6469999999972</v>
          </cell>
          <cell r="V36">
            <v>63860</v>
          </cell>
          <cell r="W36">
            <v>0</v>
          </cell>
          <cell r="X36">
            <v>0</v>
          </cell>
          <cell r="Y36">
            <v>59970</v>
          </cell>
          <cell r="Z36">
            <v>64080</v>
          </cell>
          <cell r="AA36">
            <v>0</v>
          </cell>
          <cell r="AB36">
            <v>0</v>
          </cell>
          <cell r="AC36">
            <v>48060.800000000003</v>
          </cell>
          <cell r="AD36">
            <v>0</v>
          </cell>
          <cell r="AE36">
            <v>15215.3</v>
          </cell>
          <cell r="AF36">
            <v>4036.5</v>
          </cell>
          <cell r="AG36">
            <v>19251.8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 t="str">
            <v>K72A 57 100A</v>
          </cell>
          <cell r="AN36" t="str">
            <v>B</v>
          </cell>
          <cell r="AO36" t="str">
            <v>D</v>
          </cell>
          <cell r="AP36" t="str">
            <v>E</v>
          </cell>
          <cell r="AQ36">
            <v>0</v>
          </cell>
          <cell r="AR36" t="str">
            <v>SEAT FRT.LH</v>
          </cell>
          <cell r="AS36">
            <v>63500</v>
          </cell>
          <cell r="AT36">
            <v>60320</v>
          </cell>
          <cell r="AU36">
            <v>0</v>
          </cell>
          <cell r="AV36">
            <v>83.6</v>
          </cell>
          <cell r="AW36">
            <v>1354</v>
          </cell>
          <cell r="AX36">
            <v>1437.6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 t="str">
            <v>SEAT FRT.LH</v>
          </cell>
          <cell r="BQ36">
            <v>63500</v>
          </cell>
          <cell r="BR36">
            <v>60320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83.6</v>
          </cell>
          <cell r="CC36">
            <v>1354</v>
          </cell>
          <cell r="CD36">
            <v>1437.6</v>
          </cell>
        </row>
        <row r="37">
          <cell r="C37" t="str">
            <v>K75F 57 200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 t="str">
            <v>SEAT FRT.RH</v>
          </cell>
          <cell r="I37">
            <v>17919</v>
          </cell>
          <cell r="J37">
            <v>79828.399999999994</v>
          </cell>
          <cell r="K37">
            <v>0</v>
          </cell>
          <cell r="L37">
            <v>97747.4</v>
          </cell>
          <cell r="M37">
            <v>2134.1379999999999</v>
          </cell>
          <cell r="N37">
            <v>1213.2</v>
          </cell>
          <cell r="O37">
            <v>3258</v>
          </cell>
          <cell r="P37">
            <v>2527.04</v>
          </cell>
          <cell r="Q37">
            <v>4171.1000000000004</v>
          </cell>
          <cell r="R37">
            <v>11169.34</v>
          </cell>
          <cell r="S37">
            <v>369.5</v>
          </cell>
          <cell r="T37">
            <v>111420.378</v>
          </cell>
          <cell r="U37">
            <v>16709.622000000003</v>
          </cell>
          <cell r="V37">
            <v>128130</v>
          </cell>
          <cell r="W37">
            <v>0</v>
          </cell>
          <cell r="X37">
            <v>0</v>
          </cell>
          <cell r="Y37">
            <v>120330</v>
          </cell>
          <cell r="Z37">
            <v>135890</v>
          </cell>
          <cell r="AA37">
            <v>0</v>
          </cell>
          <cell r="AB37">
            <v>0</v>
          </cell>
          <cell r="AC37">
            <v>101918.5</v>
          </cell>
          <cell r="AD37">
            <v>0</v>
          </cell>
          <cell r="AE37">
            <v>17076.400000000001</v>
          </cell>
          <cell r="AF37">
            <v>4171.1000000000004</v>
          </cell>
          <cell r="AG37">
            <v>21247.5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 t="str">
            <v>K72G 57 200A</v>
          </cell>
          <cell r="AN37" t="str">
            <v>B</v>
          </cell>
          <cell r="AO37" t="str">
            <v>D</v>
          </cell>
          <cell r="AP37" t="str">
            <v>E</v>
          </cell>
          <cell r="AQ37">
            <v>0</v>
          </cell>
          <cell r="AR37" t="str">
            <v>SEAT FRT.RH</v>
          </cell>
          <cell r="AS37">
            <v>124410</v>
          </cell>
          <cell r="AT37">
            <v>118190</v>
          </cell>
          <cell r="AU37">
            <v>0</v>
          </cell>
          <cell r="AV37">
            <v>369.5</v>
          </cell>
          <cell r="AW37">
            <v>6535.6</v>
          </cell>
          <cell r="AX37">
            <v>6905.1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 t="str">
            <v>SEAT FRT.RH</v>
          </cell>
          <cell r="BQ37">
            <v>124410</v>
          </cell>
          <cell r="BR37">
            <v>118190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369.5</v>
          </cell>
          <cell r="CC37">
            <v>6535.6</v>
          </cell>
          <cell r="CD37">
            <v>6905.1</v>
          </cell>
        </row>
        <row r="38">
          <cell r="C38" t="str">
            <v>K75F 57 300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 t="str">
            <v>SEAT RR.1st,LH</v>
          </cell>
          <cell r="I38">
            <v>19965.55</v>
          </cell>
          <cell r="J38">
            <v>80486.7</v>
          </cell>
          <cell r="K38">
            <v>0</v>
          </cell>
          <cell r="L38">
            <v>100452.25</v>
          </cell>
          <cell r="M38">
            <v>2208.7004999999999</v>
          </cell>
          <cell r="N38">
            <v>0</v>
          </cell>
          <cell r="O38">
            <v>5307.3</v>
          </cell>
          <cell r="P38">
            <v>2610.48</v>
          </cell>
          <cell r="Q38">
            <v>3812.3</v>
          </cell>
          <cell r="R38">
            <v>11730.080000000002</v>
          </cell>
          <cell r="S38">
            <v>125</v>
          </cell>
          <cell r="T38">
            <v>114516.03050000001</v>
          </cell>
          <cell r="U38">
            <v>17173.969499999992</v>
          </cell>
          <cell r="V38">
            <v>131690</v>
          </cell>
          <cell r="W38">
            <v>0</v>
          </cell>
          <cell r="X38">
            <v>0</v>
          </cell>
          <cell r="Y38">
            <v>123680</v>
          </cell>
          <cell r="Z38">
            <v>140370</v>
          </cell>
          <cell r="AA38">
            <v>0</v>
          </cell>
          <cell r="AB38">
            <v>0</v>
          </cell>
          <cell r="AC38">
            <v>105277.75</v>
          </cell>
          <cell r="AD38">
            <v>0</v>
          </cell>
          <cell r="AE38">
            <v>18517.75</v>
          </cell>
          <cell r="AF38">
            <v>3812.3</v>
          </cell>
          <cell r="AG38">
            <v>22330.05</v>
          </cell>
          <cell r="AH38">
            <v>0</v>
          </cell>
          <cell r="AI38">
            <v>1468</v>
          </cell>
          <cell r="AJ38">
            <v>1013.1999999999999</v>
          </cell>
          <cell r="AK38">
            <v>2481.1999999999998</v>
          </cell>
          <cell r="AL38">
            <v>0</v>
          </cell>
          <cell r="AM38" t="str">
            <v>K72G 57 300A</v>
          </cell>
          <cell r="AN38" t="str">
            <v>B</v>
          </cell>
          <cell r="AO38" t="str">
            <v>D</v>
          </cell>
          <cell r="AP38" t="str">
            <v>E</v>
          </cell>
          <cell r="AQ38" t="str">
            <v>F</v>
          </cell>
          <cell r="AR38" t="str">
            <v>SEAT RR.1st,LH</v>
          </cell>
          <cell r="AS38">
            <v>128120</v>
          </cell>
          <cell r="AT38">
            <v>121710</v>
          </cell>
          <cell r="AU38">
            <v>0</v>
          </cell>
          <cell r="AV38">
            <v>125</v>
          </cell>
          <cell r="AW38">
            <v>6192.8</v>
          </cell>
          <cell r="AX38">
            <v>6317.8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121710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125</v>
          </cell>
          <cell r="BU38">
            <v>6192.8</v>
          </cell>
          <cell r="BV38">
            <v>6317.8</v>
          </cell>
        </row>
        <row r="39">
          <cell r="C39" t="str">
            <v>K75F 57 350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 t="str">
            <v>SEAT RR.1st,RH</v>
          </cell>
          <cell r="I39">
            <v>19965.55</v>
          </cell>
          <cell r="J39">
            <v>84760.7</v>
          </cell>
          <cell r="K39">
            <v>0</v>
          </cell>
          <cell r="L39">
            <v>104726.25</v>
          </cell>
          <cell r="M39">
            <v>2294.1804999999999</v>
          </cell>
          <cell r="N39">
            <v>0</v>
          </cell>
          <cell r="O39">
            <v>5307.3</v>
          </cell>
          <cell r="P39">
            <v>2610.48</v>
          </cell>
          <cell r="Q39">
            <v>3812.3</v>
          </cell>
          <cell r="R39">
            <v>11730.080000000002</v>
          </cell>
          <cell r="S39">
            <v>125</v>
          </cell>
          <cell r="T39">
            <v>118875.5105</v>
          </cell>
          <cell r="U39">
            <v>17834.489499999996</v>
          </cell>
          <cell r="V39">
            <v>136710</v>
          </cell>
          <cell r="W39">
            <v>0</v>
          </cell>
          <cell r="X39">
            <v>0</v>
          </cell>
          <cell r="Y39">
            <v>128390</v>
          </cell>
          <cell r="Z39">
            <v>146070</v>
          </cell>
          <cell r="AA39">
            <v>0</v>
          </cell>
          <cell r="AB39">
            <v>0</v>
          </cell>
          <cell r="AC39">
            <v>109551.75</v>
          </cell>
          <cell r="AD39">
            <v>0</v>
          </cell>
          <cell r="AE39">
            <v>18517.75</v>
          </cell>
          <cell r="AF39">
            <v>3812.3</v>
          </cell>
          <cell r="AG39">
            <v>22330.05</v>
          </cell>
          <cell r="AH39">
            <v>0</v>
          </cell>
          <cell r="AI39">
            <v>1468</v>
          </cell>
          <cell r="AJ39">
            <v>1013.1999999999999</v>
          </cell>
          <cell r="AK39">
            <v>2481.1999999999998</v>
          </cell>
          <cell r="AL39">
            <v>0</v>
          </cell>
          <cell r="AM39" t="str">
            <v>K72G 57 350A</v>
          </cell>
          <cell r="AN39" t="str">
            <v>B</v>
          </cell>
          <cell r="AO39" t="str">
            <v>D</v>
          </cell>
          <cell r="AP39" t="str">
            <v>E</v>
          </cell>
          <cell r="AQ39">
            <v>0</v>
          </cell>
          <cell r="AR39" t="str">
            <v>SEAT RR.1st,RH</v>
          </cell>
          <cell r="AS39">
            <v>132820</v>
          </cell>
          <cell r="AT39">
            <v>126180</v>
          </cell>
          <cell r="AU39">
            <v>0</v>
          </cell>
          <cell r="AV39">
            <v>125</v>
          </cell>
          <cell r="AW39">
            <v>6192.8</v>
          </cell>
          <cell r="AX39">
            <v>6317.8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 t="str">
            <v>SEAT RR.1st,RH</v>
          </cell>
          <cell r="BQ39">
            <v>132820</v>
          </cell>
          <cell r="BR39">
            <v>126180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125</v>
          </cell>
          <cell r="CC39">
            <v>6192.8</v>
          </cell>
          <cell r="CD39">
            <v>6317.8</v>
          </cell>
        </row>
        <row r="40">
          <cell r="C40" t="str">
            <v>K75F 57400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 t="str">
            <v>SEAT RR.2nd,LH</v>
          </cell>
          <cell r="I40">
            <v>19047.25</v>
          </cell>
          <cell r="J40">
            <v>36912.700000000004</v>
          </cell>
          <cell r="K40">
            <v>0</v>
          </cell>
          <cell r="L40">
            <v>55959.950000000004</v>
          </cell>
          <cell r="M40">
            <v>1309.6715000000002</v>
          </cell>
          <cell r="N40">
            <v>0</v>
          </cell>
          <cell r="O40">
            <v>3213</v>
          </cell>
          <cell r="P40">
            <v>2586.64</v>
          </cell>
          <cell r="Q40">
            <v>3812.3</v>
          </cell>
          <cell r="R40">
            <v>9611.9399999999987</v>
          </cell>
          <cell r="S40">
            <v>0</v>
          </cell>
          <cell r="T40">
            <v>66881.561499999996</v>
          </cell>
          <cell r="U40">
            <v>10028.438500000004</v>
          </cell>
          <cell r="V40">
            <v>76910</v>
          </cell>
          <cell r="W40">
            <v>0</v>
          </cell>
          <cell r="X40">
            <v>0</v>
          </cell>
          <cell r="Y40">
            <v>72230</v>
          </cell>
          <cell r="Z40">
            <v>81140</v>
          </cell>
          <cell r="AA40">
            <v>0</v>
          </cell>
          <cell r="AB40">
            <v>0</v>
          </cell>
          <cell r="AC40">
            <v>60856.970000000008</v>
          </cell>
          <cell r="AD40">
            <v>0</v>
          </cell>
          <cell r="AE40">
            <v>17529.05</v>
          </cell>
          <cell r="AF40">
            <v>3812.3</v>
          </cell>
          <cell r="AG40">
            <v>21341.35</v>
          </cell>
          <cell r="AH40">
            <v>0</v>
          </cell>
          <cell r="AI40">
            <v>1571.6</v>
          </cell>
          <cell r="AJ40">
            <v>1084.72</v>
          </cell>
          <cell r="AK40">
            <v>2656.3199999999997</v>
          </cell>
          <cell r="AL40">
            <v>0</v>
          </cell>
          <cell r="AM40" t="str">
            <v>K72G 57 400A</v>
          </cell>
          <cell r="AN40" t="str">
            <v>B</v>
          </cell>
          <cell r="AO40" t="str">
            <v>D</v>
          </cell>
          <cell r="AP40">
            <v>0</v>
          </cell>
          <cell r="AQ40">
            <v>0</v>
          </cell>
          <cell r="AR40" t="str">
            <v>SEAT RR.2nd,LH</v>
          </cell>
          <cell r="AS40">
            <v>76380</v>
          </cell>
          <cell r="AT40">
            <v>72560</v>
          </cell>
          <cell r="AU40">
            <v>0</v>
          </cell>
          <cell r="AV40">
            <v>0</v>
          </cell>
          <cell r="AW40">
            <v>2792.35</v>
          </cell>
          <cell r="AX40">
            <v>2792.35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 t="str">
            <v>SEAT RR.2nd,LH</v>
          </cell>
          <cell r="BY40">
            <v>76380</v>
          </cell>
          <cell r="BZ40">
            <v>72560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2792.35</v>
          </cell>
          <cell r="CL40">
            <v>2792.35</v>
          </cell>
        </row>
        <row r="41">
          <cell r="C41" t="str">
            <v>K75F 57 450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 t="str">
            <v>SEAT RR.2nd,RH</v>
          </cell>
          <cell r="I41">
            <v>19047.25</v>
          </cell>
          <cell r="J41">
            <v>36912.700000000004</v>
          </cell>
          <cell r="K41">
            <v>0</v>
          </cell>
          <cell r="L41">
            <v>55959.950000000004</v>
          </cell>
          <cell r="M41">
            <v>1309.6715000000002</v>
          </cell>
          <cell r="N41">
            <v>0</v>
          </cell>
          <cell r="O41">
            <v>3213</v>
          </cell>
          <cell r="P41">
            <v>2586.64</v>
          </cell>
          <cell r="Q41">
            <v>3812.3</v>
          </cell>
          <cell r="R41">
            <v>9611.9399999999987</v>
          </cell>
          <cell r="S41">
            <v>0</v>
          </cell>
          <cell r="T41">
            <v>66881.561499999996</v>
          </cell>
          <cell r="U41">
            <v>10028.438500000004</v>
          </cell>
          <cell r="V41">
            <v>76910</v>
          </cell>
          <cell r="W41">
            <v>0</v>
          </cell>
          <cell r="X41">
            <v>0</v>
          </cell>
          <cell r="Y41">
            <v>72230</v>
          </cell>
          <cell r="Z41">
            <v>81140</v>
          </cell>
          <cell r="AA41">
            <v>0</v>
          </cell>
          <cell r="AB41">
            <v>0</v>
          </cell>
          <cell r="AC41">
            <v>60856.970000000008</v>
          </cell>
          <cell r="AD41">
            <v>0</v>
          </cell>
          <cell r="AE41">
            <v>17529.05</v>
          </cell>
          <cell r="AF41">
            <v>3812.3</v>
          </cell>
          <cell r="AG41">
            <v>21341.35</v>
          </cell>
          <cell r="AH41">
            <v>0</v>
          </cell>
          <cell r="AI41">
            <v>1571.6</v>
          </cell>
          <cell r="AJ41">
            <v>1084.72</v>
          </cell>
          <cell r="AK41">
            <v>2656.3199999999997</v>
          </cell>
          <cell r="AL41">
            <v>0</v>
          </cell>
          <cell r="AM41" t="str">
            <v>K72G 57 450A</v>
          </cell>
          <cell r="AN41" t="str">
            <v>B</v>
          </cell>
          <cell r="AO41" t="str">
            <v>D</v>
          </cell>
          <cell r="AP41" t="str">
            <v>E</v>
          </cell>
          <cell r="AQ41">
            <v>0</v>
          </cell>
          <cell r="AR41" t="str">
            <v>SEAT RR.2nd,RH</v>
          </cell>
          <cell r="AS41">
            <v>76380</v>
          </cell>
          <cell r="AT41">
            <v>72560</v>
          </cell>
          <cell r="AU41">
            <v>0</v>
          </cell>
          <cell r="AV41">
            <v>0</v>
          </cell>
          <cell r="AW41">
            <v>2792.35</v>
          </cell>
          <cell r="AX41">
            <v>2792.35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 t="str">
            <v>SEAT RR.2nd,RH</v>
          </cell>
          <cell r="BQ41">
            <v>76380</v>
          </cell>
          <cell r="BR41">
            <v>72560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2792.35</v>
          </cell>
          <cell r="CD41">
            <v>2792.35</v>
          </cell>
        </row>
        <row r="42">
          <cell r="C42" t="str">
            <v>K75A 57 500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 t="str">
            <v>SEAT REAR.3rd</v>
          </cell>
          <cell r="I42">
            <v>31178.699999999997</v>
          </cell>
          <cell r="J42">
            <v>50446.3</v>
          </cell>
          <cell r="K42">
            <v>0</v>
          </cell>
          <cell r="L42">
            <v>81625</v>
          </cell>
          <cell r="M42">
            <v>1944.2869999999998</v>
          </cell>
          <cell r="N42">
            <v>0</v>
          </cell>
          <cell r="O42">
            <v>5013</v>
          </cell>
          <cell r="P42">
            <v>7020.880000000001</v>
          </cell>
          <cell r="Q42">
            <v>4978.3999999999996</v>
          </cell>
          <cell r="R42">
            <v>17012.28</v>
          </cell>
          <cell r="S42">
            <v>60.3</v>
          </cell>
          <cell r="T42">
            <v>100641.867</v>
          </cell>
          <cell r="U42">
            <v>15098.133000000002</v>
          </cell>
          <cell r="V42">
            <v>115740</v>
          </cell>
          <cell r="W42">
            <v>0</v>
          </cell>
          <cell r="X42">
            <v>0</v>
          </cell>
          <cell r="Y42">
            <v>108690</v>
          </cell>
          <cell r="Z42">
            <v>120240</v>
          </cell>
          <cell r="AA42">
            <v>0</v>
          </cell>
          <cell r="AB42">
            <v>0</v>
          </cell>
          <cell r="AC42">
            <v>90179.4</v>
          </cell>
          <cell r="AD42">
            <v>0</v>
          </cell>
          <cell r="AE42">
            <v>24762.1</v>
          </cell>
          <cell r="AF42">
            <v>4978.3999999999996</v>
          </cell>
          <cell r="AG42">
            <v>29740.5</v>
          </cell>
          <cell r="AH42">
            <v>0</v>
          </cell>
          <cell r="AI42">
            <v>5181</v>
          </cell>
          <cell r="AJ42">
            <v>3576</v>
          </cell>
          <cell r="AK42">
            <v>8757</v>
          </cell>
          <cell r="AL42">
            <v>0</v>
          </cell>
          <cell r="AM42" t="str">
            <v>K72A 57 500A</v>
          </cell>
          <cell r="AN42" t="str">
            <v>C</v>
          </cell>
          <cell r="AO42" t="str">
            <v>E</v>
          </cell>
          <cell r="AP42" t="str">
            <v>F</v>
          </cell>
          <cell r="AQ42">
            <v>0</v>
          </cell>
          <cell r="AR42" t="str">
            <v>SEAT REAR.3rd</v>
          </cell>
          <cell r="AS42">
            <v>114500</v>
          </cell>
          <cell r="AT42">
            <v>108770</v>
          </cell>
          <cell r="AU42">
            <v>0</v>
          </cell>
          <cell r="AV42">
            <v>60.3</v>
          </cell>
          <cell r="AW42">
            <v>1594.5</v>
          </cell>
          <cell r="AX42">
            <v>1654.8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 t="str">
            <v>SEAT REAR.3rd</v>
          </cell>
          <cell r="BQ42">
            <v>114500</v>
          </cell>
          <cell r="BR42">
            <v>108770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60.3</v>
          </cell>
          <cell r="CC42">
            <v>1594.5</v>
          </cell>
          <cell r="CD42">
            <v>1654.8</v>
          </cell>
        </row>
        <row r="43">
          <cell r="H43" t="str">
            <v>소계</v>
          </cell>
          <cell r="I43">
            <v>144370</v>
          </cell>
          <cell r="J43">
            <v>396125.10000000003</v>
          </cell>
          <cell r="K43">
            <v>0</v>
          </cell>
          <cell r="L43">
            <v>540495.10000000009</v>
          </cell>
          <cell r="M43">
            <v>12253.602000000001</v>
          </cell>
          <cell r="N43">
            <v>2426.4</v>
          </cell>
          <cell r="O43">
            <v>27867.599999999999</v>
          </cell>
          <cell r="P43">
            <v>22504.959999999999</v>
          </cell>
          <cell r="Q43">
            <v>28435.199999999997</v>
          </cell>
          <cell r="R43">
            <v>81234.16</v>
          </cell>
          <cell r="S43">
            <v>763.4</v>
          </cell>
          <cell r="T43">
            <v>634746.26199999999</v>
          </cell>
          <cell r="U43">
            <v>95203.737999999998</v>
          </cell>
          <cell r="V43">
            <v>729950</v>
          </cell>
          <cell r="W43">
            <v>0</v>
          </cell>
          <cell r="X43">
            <v>0</v>
          </cell>
          <cell r="Y43">
            <v>685520</v>
          </cell>
          <cell r="Z43">
            <v>768930</v>
          </cell>
          <cell r="AA43">
            <v>0</v>
          </cell>
          <cell r="AB43">
            <v>0</v>
          </cell>
          <cell r="AC43">
            <v>576702.14000000013</v>
          </cell>
          <cell r="AD43">
            <v>0</v>
          </cell>
          <cell r="AE43">
            <v>129147.4</v>
          </cell>
          <cell r="AF43">
            <v>28435.199999999997</v>
          </cell>
          <cell r="AG43">
            <v>157582.59999999998</v>
          </cell>
          <cell r="AH43">
            <v>0</v>
          </cell>
          <cell r="AI43">
            <v>11260.2</v>
          </cell>
          <cell r="AJ43">
            <v>7771.84</v>
          </cell>
          <cell r="AK43">
            <v>19032.04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 t="str">
            <v>소계</v>
          </cell>
          <cell r="AS43">
            <v>716110</v>
          </cell>
          <cell r="AT43">
            <v>680290</v>
          </cell>
          <cell r="AU43">
            <v>0</v>
          </cell>
          <cell r="AV43">
            <v>763.4</v>
          </cell>
          <cell r="AW43">
            <v>27454.399999999998</v>
          </cell>
          <cell r="AX43">
            <v>28217.799999999996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 t="str">
            <v>소계</v>
          </cell>
          <cell r="CW43">
            <v>716110</v>
          </cell>
          <cell r="CX43">
            <v>680290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763.4</v>
          </cell>
          <cell r="DI43">
            <v>27454.399999999998</v>
          </cell>
          <cell r="DJ43">
            <v>28217.799999999996</v>
          </cell>
        </row>
        <row r="44">
          <cell r="A44" t="str">
            <v>6V</v>
          </cell>
          <cell r="B44" t="str">
            <v>EST</v>
          </cell>
          <cell r="C44" t="str">
            <v>K75B 57 100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 t="str">
            <v>SEAT FRT.LH</v>
          </cell>
          <cell r="I44">
            <v>13194.2</v>
          </cell>
          <cell r="J44">
            <v>25850.7</v>
          </cell>
          <cell r="K44">
            <v>0</v>
          </cell>
          <cell r="L44">
            <v>39044.9</v>
          </cell>
          <cell r="M44">
            <v>912.84</v>
          </cell>
          <cell r="N44">
            <v>1197</v>
          </cell>
          <cell r="O44">
            <v>2494.8000000000002</v>
          </cell>
          <cell r="P44">
            <v>2562.7999999999997</v>
          </cell>
          <cell r="Q44">
            <v>4425.2</v>
          </cell>
          <cell r="R44">
            <v>10679.8</v>
          </cell>
          <cell r="S44">
            <v>83.6</v>
          </cell>
          <cell r="T44">
            <v>50721.139999999992</v>
          </cell>
          <cell r="U44">
            <v>7608.8600000000079</v>
          </cell>
          <cell r="V44">
            <v>58330</v>
          </cell>
          <cell r="W44">
            <v>0</v>
          </cell>
          <cell r="X44">
            <v>0</v>
          </cell>
          <cell r="Y44">
            <v>54780</v>
          </cell>
          <cell r="Z44">
            <v>57960</v>
          </cell>
          <cell r="AA44">
            <v>0</v>
          </cell>
          <cell r="AB44">
            <v>0</v>
          </cell>
          <cell r="AC44">
            <v>43470.1</v>
          </cell>
          <cell r="AD44">
            <v>0</v>
          </cell>
          <cell r="AE44">
            <v>8604.9</v>
          </cell>
          <cell r="AF44">
            <v>4425.2</v>
          </cell>
          <cell r="AG44">
            <v>13030.099999999999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 t="str">
            <v>K72B 57 100A</v>
          </cell>
          <cell r="AN44" t="str">
            <v>C</v>
          </cell>
          <cell r="AO44" t="str">
            <v>D</v>
          </cell>
          <cell r="AP44">
            <v>0</v>
          </cell>
          <cell r="AQ44">
            <v>0</v>
          </cell>
          <cell r="AR44" t="str">
            <v>SEAT FRT.LH</v>
          </cell>
          <cell r="AS44">
            <v>55300</v>
          </cell>
          <cell r="AT44">
            <v>52530</v>
          </cell>
          <cell r="AU44">
            <v>0</v>
          </cell>
          <cell r="AV44">
            <v>83.6</v>
          </cell>
          <cell r="AW44">
            <v>1310</v>
          </cell>
          <cell r="AX44">
            <v>1393.6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 t="str">
            <v>SEAT FRT.LH</v>
          </cell>
          <cell r="BY44">
            <v>55300</v>
          </cell>
          <cell r="BZ44">
            <v>52530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83.6</v>
          </cell>
          <cell r="CK44">
            <v>1310</v>
          </cell>
          <cell r="CL44">
            <v>1393.6</v>
          </cell>
        </row>
        <row r="45">
          <cell r="C45" t="str">
            <v>K75B 57 200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 t="str">
            <v>SEAT FRT.RH</v>
          </cell>
          <cell r="I45">
            <v>19936.199999999997</v>
          </cell>
          <cell r="J45">
            <v>75530.5</v>
          </cell>
          <cell r="K45">
            <v>0</v>
          </cell>
          <cell r="L45">
            <v>95466.7</v>
          </cell>
          <cell r="M45">
            <v>2108.6959999999999</v>
          </cell>
          <cell r="N45">
            <v>1197</v>
          </cell>
          <cell r="O45">
            <v>4152.6000000000004</v>
          </cell>
          <cell r="P45">
            <v>4172</v>
          </cell>
          <cell r="Q45">
            <v>6936.8</v>
          </cell>
          <cell r="R45">
            <v>16458.400000000001</v>
          </cell>
          <cell r="S45">
            <v>410.7</v>
          </cell>
          <cell r="T45">
            <v>114444.496</v>
          </cell>
          <cell r="U45">
            <v>17165.504000000001</v>
          </cell>
          <cell r="V45">
            <v>131610</v>
          </cell>
          <cell r="W45">
            <v>0</v>
          </cell>
          <cell r="X45">
            <v>0</v>
          </cell>
          <cell r="Y45">
            <v>123600</v>
          </cell>
          <cell r="Z45">
            <v>136540</v>
          </cell>
          <cell r="AA45">
            <v>0</v>
          </cell>
          <cell r="AB45">
            <v>0</v>
          </cell>
          <cell r="AC45">
            <v>102403.5</v>
          </cell>
          <cell r="AD45">
            <v>0</v>
          </cell>
          <cell r="AE45">
            <v>13823.1</v>
          </cell>
          <cell r="AF45">
            <v>6936.8</v>
          </cell>
          <cell r="AG45">
            <v>20759.900000000001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 t="str">
            <v>K72B 57 200A</v>
          </cell>
          <cell r="AN45" t="str">
            <v>D</v>
          </cell>
          <cell r="AO45" t="str">
            <v>F</v>
          </cell>
          <cell r="AP45" t="str">
            <v>G</v>
          </cell>
          <cell r="AQ45">
            <v>0</v>
          </cell>
          <cell r="AR45" t="str">
            <v>SEAT FRT.RH</v>
          </cell>
          <cell r="AS45">
            <v>124540</v>
          </cell>
          <cell r="AT45">
            <v>118310</v>
          </cell>
          <cell r="AU45">
            <v>0</v>
          </cell>
          <cell r="AV45">
            <v>410.7</v>
          </cell>
          <cell r="AW45">
            <v>1359.2</v>
          </cell>
          <cell r="AX45">
            <v>1769.9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 t="str">
            <v>SEAT FRT.RH</v>
          </cell>
          <cell r="BQ45">
            <v>124540</v>
          </cell>
          <cell r="BR45">
            <v>118310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410.7</v>
          </cell>
          <cell r="CC45">
            <v>1359.2</v>
          </cell>
          <cell r="CD45">
            <v>1769.9</v>
          </cell>
        </row>
        <row r="46">
          <cell r="C46" t="str">
            <v>K75K 57 500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 t="str">
            <v>SEAT REAR.1st</v>
          </cell>
          <cell r="I46">
            <v>26977</v>
          </cell>
          <cell r="J46">
            <v>50492.5</v>
          </cell>
          <cell r="K46">
            <v>0</v>
          </cell>
          <cell r="L46">
            <v>77469.5</v>
          </cell>
          <cell r="M46">
            <v>1819.1599999999999</v>
          </cell>
          <cell r="N46">
            <v>0</v>
          </cell>
          <cell r="O46">
            <v>5013</v>
          </cell>
          <cell r="P46">
            <v>7020.880000000001</v>
          </cell>
          <cell r="Q46">
            <v>5486.7</v>
          </cell>
          <cell r="R46">
            <v>17520.580000000002</v>
          </cell>
          <cell r="S46">
            <v>60.3</v>
          </cell>
          <cell r="T46">
            <v>96869.540000000008</v>
          </cell>
          <cell r="U46">
            <v>14530.459999999992</v>
          </cell>
          <cell r="V46">
            <v>111400</v>
          </cell>
          <cell r="W46">
            <v>0</v>
          </cell>
          <cell r="X46">
            <v>0</v>
          </cell>
          <cell r="Y46">
            <v>104620</v>
          </cell>
          <cell r="Z46">
            <v>115380</v>
          </cell>
          <cell r="AA46">
            <v>0</v>
          </cell>
          <cell r="AB46">
            <v>0</v>
          </cell>
          <cell r="AC46">
            <v>86532.2</v>
          </cell>
          <cell r="AD46">
            <v>0</v>
          </cell>
          <cell r="AE46">
            <v>16487.599999999999</v>
          </cell>
          <cell r="AF46">
            <v>5486.7</v>
          </cell>
          <cell r="AG46">
            <v>21974.3</v>
          </cell>
          <cell r="AH46">
            <v>0</v>
          </cell>
          <cell r="AI46">
            <v>5181</v>
          </cell>
          <cell r="AJ46">
            <v>3576</v>
          </cell>
          <cell r="AK46">
            <v>8757</v>
          </cell>
          <cell r="AL46">
            <v>0</v>
          </cell>
          <cell r="AM46" t="str">
            <v>K72K 57 500B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 t="str">
            <v>SEAT REAR.1st</v>
          </cell>
          <cell r="AS46">
            <v>105530</v>
          </cell>
          <cell r="AT46">
            <v>100250</v>
          </cell>
          <cell r="AU46">
            <v>0</v>
          </cell>
          <cell r="AV46">
            <v>60.3</v>
          </cell>
          <cell r="AW46">
            <v>1594.5</v>
          </cell>
          <cell r="AX46">
            <v>1654.8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>SEAT REAR.1st</v>
          </cell>
          <cell r="CO46">
            <v>105530</v>
          </cell>
          <cell r="CP46">
            <v>100250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60.3</v>
          </cell>
          <cell r="DA46">
            <v>1594.5</v>
          </cell>
          <cell r="DB46">
            <v>1654.8</v>
          </cell>
        </row>
        <row r="47">
          <cell r="H47" t="str">
            <v>소계</v>
          </cell>
          <cell r="I47">
            <v>60107.399999999994</v>
          </cell>
          <cell r="J47">
            <v>151873.70000000001</v>
          </cell>
          <cell r="K47">
            <v>0</v>
          </cell>
          <cell r="L47">
            <v>211981.1</v>
          </cell>
          <cell r="M47">
            <v>4840.6959999999999</v>
          </cell>
          <cell r="N47">
            <v>2394</v>
          </cell>
          <cell r="O47">
            <v>11660.400000000001</v>
          </cell>
          <cell r="P47">
            <v>13755.68</v>
          </cell>
          <cell r="Q47">
            <v>16848.7</v>
          </cell>
          <cell r="R47">
            <v>44658.78</v>
          </cell>
          <cell r="S47">
            <v>554.59999999999991</v>
          </cell>
          <cell r="T47">
            <v>262035.17600000001</v>
          </cell>
          <cell r="U47">
            <v>39304.824000000001</v>
          </cell>
          <cell r="V47">
            <v>301340</v>
          </cell>
          <cell r="W47">
            <v>0</v>
          </cell>
          <cell r="X47">
            <v>0</v>
          </cell>
          <cell r="Y47">
            <v>283000</v>
          </cell>
          <cell r="Z47">
            <v>309880</v>
          </cell>
          <cell r="AA47">
            <v>0</v>
          </cell>
          <cell r="AB47">
            <v>0</v>
          </cell>
          <cell r="AC47">
            <v>232405.8</v>
          </cell>
          <cell r="AD47">
            <v>0</v>
          </cell>
          <cell r="AE47">
            <v>38915.5</v>
          </cell>
          <cell r="AF47">
            <v>16848.7</v>
          </cell>
          <cell r="AG47">
            <v>55764.2</v>
          </cell>
          <cell r="AH47">
            <v>0</v>
          </cell>
          <cell r="AI47">
            <v>5181</v>
          </cell>
          <cell r="AJ47">
            <v>3576</v>
          </cell>
          <cell r="AK47">
            <v>8757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 t="str">
            <v>소계</v>
          </cell>
          <cell r="AS47">
            <v>285370</v>
          </cell>
          <cell r="AT47">
            <v>271090</v>
          </cell>
          <cell r="AU47">
            <v>0</v>
          </cell>
          <cell r="AV47">
            <v>554.59999999999991</v>
          </cell>
          <cell r="AW47">
            <v>4263.7</v>
          </cell>
          <cell r="AX47">
            <v>4818.3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 t="str">
            <v>소계</v>
          </cell>
          <cell r="CW47">
            <v>285370</v>
          </cell>
          <cell r="CX47">
            <v>271090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554.59999999999991</v>
          </cell>
          <cell r="DI47">
            <v>4263.7</v>
          </cell>
          <cell r="DJ47">
            <v>4818.3</v>
          </cell>
        </row>
        <row r="48">
          <cell r="A48" t="str">
            <v>3V</v>
          </cell>
          <cell r="B48" t="str">
            <v>EST</v>
          </cell>
          <cell r="C48" t="str">
            <v>K75B 57 100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 t="str">
            <v>SEAT FRT.LH</v>
          </cell>
          <cell r="I48">
            <v>13194.2</v>
          </cell>
          <cell r="J48">
            <v>25850.7</v>
          </cell>
          <cell r="K48">
            <v>0</v>
          </cell>
          <cell r="L48">
            <v>39044.9</v>
          </cell>
          <cell r="M48">
            <v>912.84</v>
          </cell>
          <cell r="N48">
            <v>1197</v>
          </cell>
          <cell r="O48">
            <v>2494.8000000000002</v>
          </cell>
          <cell r="P48">
            <v>2562.7999999999997</v>
          </cell>
          <cell r="Q48">
            <v>4425.2</v>
          </cell>
          <cell r="R48">
            <v>10679.8</v>
          </cell>
          <cell r="S48">
            <v>83.6</v>
          </cell>
          <cell r="T48">
            <v>50721.139999999992</v>
          </cell>
          <cell r="U48">
            <v>7608.8600000000079</v>
          </cell>
          <cell r="V48">
            <v>58330</v>
          </cell>
          <cell r="W48">
            <v>0</v>
          </cell>
          <cell r="X48">
            <v>0</v>
          </cell>
          <cell r="Y48">
            <v>54780</v>
          </cell>
          <cell r="Z48">
            <v>57960</v>
          </cell>
          <cell r="AA48">
            <v>0</v>
          </cell>
          <cell r="AB48">
            <v>0</v>
          </cell>
          <cell r="AC48">
            <v>43470.1</v>
          </cell>
          <cell r="AD48">
            <v>0</v>
          </cell>
          <cell r="AE48">
            <v>8604.9</v>
          </cell>
          <cell r="AF48">
            <v>4425.2</v>
          </cell>
          <cell r="AG48">
            <v>13030.099999999999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 t="str">
            <v>K72B 57 100A</v>
          </cell>
          <cell r="AN48" t="str">
            <v>C</v>
          </cell>
          <cell r="AO48" t="str">
            <v>D</v>
          </cell>
          <cell r="AP48">
            <v>0</v>
          </cell>
          <cell r="AQ48">
            <v>0</v>
          </cell>
          <cell r="AR48" t="str">
            <v>SEAT FRT.LH</v>
          </cell>
          <cell r="AS48">
            <v>55300</v>
          </cell>
          <cell r="AT48">
            <v>52530</v>
          </cell>
          <cell r="AU48">
            <v>0</v>
          </cell>
          <cell r="AV48">
            <v>83.6</v>
          </cell>
          <cell r="AW48">
            <v>1310</v>
          </cell>
          <cell r="AX48">
            <v>1393.6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 t="str">
            <v>SEAT FRT.LH</v>
          </cell>
          <cell r="BY48">
            <v>55300</v>
          </cell>
          <cell r="BZ48">
            <v>52530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83.6</v>
          </cell>
          <cell r="CK48">
            <v>1310</v>
          </cell>
          <cell r="CL48">
            <v>1393.6</v>
          </cell>
        </row>
        <row r="49">
          <cell r="C49" t="str">
            <v>K75H 57 200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 t="str">
            <v>SEAT FRT.RH</v>
          </cell>
          <cell r="I49">
            <v>20022.599999999999</v>
          </cell>
          <cell r="J49">
            <v>70627.5</v>
          </cell>
          <cell r="K49">
            <v>0</v>
          </cell>
          <cell r="L49">
            <v>90650.1</v>
          </cell>
          <cell r="M49">
            <v>2013.2279999999998</v>
          </cell>
          <cell r="N49">
            <v>1197</v>
          </cell>
          <cell r="O49">
            <v>4152.6000000000004</v>
          </cell>
          <cell r="P49">
            <v>4231.6000000000004</v>
          </cell>
          <cell r="Q49">
            <v>6936.8</v>
          </cell>
          <cell r="R49">
            <v>16518</v>
          </cell>
          <cell r="S49">
            <v>410.7</v>
          </cell>
          <cell r="T49">
            <v>109592.02800000001</v>
          </cell>
          <cell r="U49">
            <v>16437.971999999994</v>
          </cell>
          <cell r="V49">
            <v>126030</v>
          </cell>
          <cell r="W49">
            <v>0</v>
          </cell>
          <cell r="X49">
            <v>0</v>
          </cell>
          <cell r="Y49">
            <v>118360</v>
          </cell>
          <cell r="Z49">
            <v>132290</v>
          </cell>
          <cell r="AA49">
            <v>0</v>
          </cell>
          <cell r="AB49">
            <v>0</v>
          </cell>
          <cell r="AC49">
            <v>99219.939999999988</v>
          </cell>
          <cell r="AD49">
            <v>0</v>
          </cell>
          <cell r="AE49">
            <v>13823.1</v>
          </cell>
          <cell r="AF49">
            <v>6936.8</v>
          </cell>
          <cell r="AG49">
            <v>20759.900000000001</v>
          </cell>
          <cell r="AH49">
            <v>0</v>
          </cell>
          <cell r="AI49">
            <v>2366</v>
          </cell>
          <cell r="AJ49">
            <v>1633.0400000000002</v>
          </cell>
          <cell r="AK49">
            <v>3999.04</v>
          </cell>
          <cell r="AL49">
            <v>0</v>
          </cell>
          <cell r="AM49" t="str">
            <v>K72H 57 200B</v>
          </cell>
          <cell r="AN49" t="str">
            <v>E</v>
          </cell>
          <cell r="AO49" t="str">
            <v>G</v>
          </cell>
          <cell r="AP49">
            <v>0</v>
          </cell>
          <cell r="AQ49">
            <v>0</v>
          </cell>
          <cell r="AR49" t="str">
            <v>SEAT FRT.RH</v>
          </cell>
          <cell r="AS49">
            <v>119300</v>
          </cell>
          <cell r="AT49">
            <v>113330</v>
          </cell>
          <cell r="AU49">
            <v>0</v>
          </cell>
          <cell r="AV49">
            <v>410.7</v>
          </cell>
          <cell r="AW49">
            <v>3251.6</v>
          </cell>
          <cell r="AX49">
            <v>3662.2999999999997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 t="str">
            <v>SEAT FRT.RH</v>
          </cell>
          <cell r="BY49">
            <v>119300</v>
          </cell>
          <cell r="BZ49">
            <v>113330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410.7</v>
          </cell>
          <cell r="CK49">
            <v>3251.6</v>
          </cell>
          <cell r="CL49">
            <v>3662.2999999999997</v>
          </cell>
        </row>
        <row r="50">
          <cell r="H50" t="str">
            <v>소계</v>
          </cell>
          <cell r="I50">
            <v>33216.800000000003</v>
          </cell>
          <cell r="J50">
            <v>96478.2</v>
          </cell>
          <cell r="K50">
            <v>0</v>
          </cell>
          <cell r="L50">
            <v>129695</v>
          </cell>
          <cell r="M50">
            <v>2926.0679999999998</v>
          </cell>
          <cell r="N50">
            <v>2394</v>
          </cell>
          <cell r="O50">
            <v>6647.4000000000005</v>
          </cell>
          <cell r="P50">
            <v>6794.4</v>
          </cell>
          <cell r="Q50">
            <v>11362</v>
          </cell>
          <cell r="R50">
            <v>27197.8</v>
          </cell>
          <cell r="S50">
            <v>494.29999999999995</v>
          </cell>
          <cell r="T50">
            <v>160313.16800000001</v>
          </cell>
          <cell r="U50">
            <v>24046.832000000002</v>
          </cell>
          <cell r="V50">
            <v>184360</v>
          </cell>
          <cell r="W50">
            <v>0</v>
          </cell>
          <cell r="X50">
            <v>0</v>
          </cell>
          <cell r="Y50">
            <v>173140</v>
          </cell>
          <cell r="Z50">
            <v>190250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22427.9</v>
          </cell>
          <cell r="AF50">
            <v>11362</v>
          </cell>
          <cell r="AG50">
            <v>33789.9</v>
          </cell>
          <cell r="AH50">
            <v>0</v>
          </cell>
          <cell r="AI50">
            <v>2366</v>
          </cell>
          <cell r="AJ50">
            <v>1633.0400000000002</v>
          </cell>
          <cell r="AK50">
            <v>3999.04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 t="str">
            <v>소계</v>
          </cell>
          <cell r="AS50">
            <v>174600</v>
          </cell>
          <cell r="AT50">
            <v>165860</v>
          </cell>
          <cell r="AU50">
            <v>0</v>
          </cell>
          <cell r="AV50">
            <v>494.29999999999995</v>
          </cell>
          <cell r="AW50">
            <v>4561.6000000000004</v>
          </cell>
          <cell r="AX50">
            <v>5055.8999999999996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 t="str">
            <v>소계</v>
          </cell>
          <cell r="CW50">
            <v>174600</v>
          </cell>
          <cell r="CX50">
            <v>165860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494.29999999999995</v>
          </cell>
          <cell r="DI50">
            <v>4561.6000000000004</v>
          </cell>
          <cell r="DJ50">
            <v>5055.8999999999996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>
        <row r="1">
          <cell r="A1">
            <v>0</v>
          </cell>
        </row>
      </sheetData>
      <sheetData sheetId="144">
        <row r="1">
          <cell r="A1">
            <v>0</v>
          </cell>
        </row>
      </sheetData>
      <sheetData sheetId="145">
        <row r="1">
          <cell r="A1">
            <v>0</v>
          </cell>
        </row>
      </sheetData>
      <sheetData sheetId="146">
        <row r="1">
          <cell r="A1">
            <v>0</v>
          </cell>
        </row>
      </sheetData>
      <sheetData sheetId="147">
        <row r="1">
          <cell r="A1">
            <v>0</v>
          </cell>
        </row>
      </sheetData>
      <sheetData sheetId="148">
        <row r="1">
          <cell r="A1">
            <v>0</v>
          </cell>
        </row>
      </sheetData>
      <sheetData sheetId="149">
        <row r="1">
          <cell r="A1">
            <v>0</v>
          </cell>
        </row>
      </sheetData>
      <sheetData sheetId="150">
        <row r="1">
          <cell r="A1">
            <v>0</v>
          </cell>
        </row>
      </sheetData>
      <sheetData sheetId="151">
        <row r="1">
          <cell r="A1">
            <v>0</v>
          </cell>
        </row>
      </sheetData>
      <sheetData sheetId="152">
        <row r="1">
          <cell r="A1">
            <v>0</v>
          </cell>
        </row>
      </sheetData>
      <sheetData sheetId="153">
        <row r="1">
          <cell r="A1">
            <v>0</v>
          </cell>
        </row>
      </sheetData>
      <sheetData sheetId="154">
        <row r="1">
          <cell r="A1">
            <v>0</v>
          </cell>
        </row>
      </sheetData>
      <sheetData sheetId="155">
        <row r="1">
          <cell r="A1">
            <v>0</v>
          </cell>
        </row>
      </sheetData>
      <sheetData sheetId="156">
        <row r="1">
          <cell r="A1">
            <v>0</v>
          </cell>
        </row>
      </sheetData>
      <sheetData sheetId="157">
        <row r="1">
          <cell r="A1">
            <v>0</v>
          </cell>
        </row>
      </sheetData>
      <sheetData sheetId="158">
        <row r="1">
          <cell r="A1">
            <v>0</v>
          </cell>
        </row>
      </sheetData>
      <sheetData sheetId="159">
        <row r="1">
          <cell r="A1">
            <v>0</v>
          </cell>
        </row>
      </sheetData>
      <sheetData sheetId="160">
        <row r="1">
          <cell r="A1">
            <v>0</v>
          </cell>
        </row>
      </sheetData>
      <sheetData sheetId="161">
        <row r="1">
          <cell r="A1">
            <v>0</v>
          </cell>
        </row>
      </sheetData>
      <sheetData sheetId="162">
        <row r="1">
          <cell r="A1">
            <v>0</v>
          </cell>
        </row>
      </sheetData>
      <sheetData sheetId="163">
        <row r="1">
          <cell r="A1">
            <v>0</v>
          </cell>
        </row>
      </sheetData>
      <sheetData sheetId="164">
        <row r="1">
          <cell r="A1">
            <v>0</v>
          </cell>
        </row>
      </sheetData>
      <sheetData sheetId="165">
        <row r="1">
          <cell r="A1">
            <v>0</v>
          </cell>
        </row>
      </sheetData>
      <sheetData sheetId="166">
        <row r="1">
          <cell r="A1">
            <v>0</v>
          </cell>
        </row>
      </sheetData>
      <sheetData sheetId="167">
        <row r="1">
          <cell r="A1">
            <v>0</v>
          </cell>
        </row>
      </sheetData>
      <sheetData sheetId="168">
        <row r="1">
          <cell r="A1">
            <v>0</v>
          </cell>
        </row>
      </sheetData>
      <sheetData sheetId="169">
        <row r="1">
          <cell r="A1">
            <v>0</v>
          </cell>
        </row>
      </sheetData>
      <sheetData sheetId="170">
        <row r="1">
          <cell r="A1">
            <v>0</v>
          </cell>
        </row>
      </sheetData>
      <sheetData sheetId="171">
        <row r="1">
          <cell r="A1">
            <v>0</v>
          </cell>
        </row>
      </sheetData>
      <sheetData sheetId="172">
        <row r="1">
          <cell r="A1">
            <v>0</v>
          </cell>
        </row>
      </sheetData>
      <sheetData sheetId="173">
        <row r="1">
          <cell r="A1">
            <v>0</v>
          </cell>
        </row>
      </sheetData>
      <sheetData sheetId="174">
        <row r="1">
          <cell r="A1">
            <v>0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>
        <row r="1">
          <cell r="A1">
            <v>0</v>
          </cell>
        </row>
      </sheetData>
      <sheetData sheetId="180" refreshError="1"/>
      <sheetData sheetId="181">
        <row r="1">
          <cell r="A1">
            <v>0</v>
          </cell>
        </row>
      </sheetData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>
        <row r="1">
          <cell r="A1">
            <v>0</v>
          </cell>
        </row>
      </sheetData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>
        <row r="1">
          <cell r="A1">
            <v>0</v>
          </cell>
        </row>
      </sheetData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>
        <row r="1">
          <cell r="A1">
            <v>0</v>
          </cell>
        </row>
      </sheetData>
      <sheetData sheetId="378">
        <row r="1">
          <cell r="A1">
            <v>0</v>
          </cell>
        </row>
      </sheetData>
      <sheetData sheetId="379" refreshError="1"/>
      <sheetData sheetId="380" refreshError="1"/>
      <sheetData sheetId="381">
        <row r="1">
          <cell r="A1">
            <v>0</v>
          </cell>
        </row>
      </sheetData>
      <sheetData sheetId="382">
        <row r="1">
          <cell r="A1">
            <v>0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2">
          <cell r="B2" t="str">
            <v>NX4e 차종 부품가 견적 집계현황</v>
          </cell>
        </row>
      </sheetData>
      <sheetData sheetId="490">
        <row r="2">
          <cell r="B2" t="str">
            <v>NX4e 차종 부품가 견적 집계현황</v>
          </cell>
        </row>
      </sheetData>
      <sheetData sheetId="491">
        <row r="2">
          <cell r="B2" t="str">
            <v>NX4e 차종 부품가 견적 집계현황</v>
          </cell>
        </row>
      </sheetData>
      <sheetData sheetId="492">
        <row r="2">
          <cell r="B2" t="str">
            <v>NX4e 차종 부품가 견적 집계현황</v>
          </cell>
        </row>
      </sheetData>
      <sheetData sheetId="493">
        <row r="2">
          <cell r="B2" t="str">
            <v>NX4e 차종 부품가 견적 집계현황</v>
          </cell>
        </row>
      </sheetData>
      <sheetData sheetId="494">
        <row r="2">
          <cell r="B2" t="str">
            <v>NX4e 차종 부품가 견적 집계현황</v>
          </cell>
        </row>
      </sheetData>
      <sheetData sheetId="495">
        <row r="2">
          <cell r="B2" t="str">
            <v>NX4e 차종 부품가 견적 집계현황</v>
          </cell>
        </row>
      </sheetData>
      <sheetData sheetId="496">
        <row r="2">
          <cell r="B2" t="str">
            <v>NX4e 차종 부품가 견적 집계현황</v>
          </cell>
        </row>
      </sheetData>
      <sheetData sheetId="497">
        <row r="2">
          <cell r="B2" t="str">
            <v>NX4e 차종 부품가 견적 집계현황</v>
          </cell>
        </row>
      </sheetData>
      <sheetData sheetId="498">
        <row r="2">
          <cell r="B2" t="str">
            <v>NX4e 차종 부품가 견적 집계현황</v>
          </cell>
        </row>
      </sheetData>
      <sheetData sheetId="499">
        <row r="2">
          <cell r="B2" t="str">
            <v>NX4e 차종 부품가 견적 집계현황</v>
          </cell>
        </row>
      </sheetData>
      <sheetData sheetId="500">
        <row r="2">
          <cell r="B2" t="str">
            <v>NX4e 차종 부품가 견적 집계현황</v>
          </cell>
        </row>
      </sheetData>
      <sheetData sheetId="501">
        <row r="2">
          <cell r="B2" t="str">
            <v>NX4e 차종 부품가 견적 집계현황</v>
          </cell>
        </row>
      </sheetData>
      <sheetData sheetId="502">
        <row r="2">
          <cell r="B2" t="str">
            <v>NX4e 차종 부품가 견적 집계현황</v>
          </cell>
        </row>
      </sheetData>
      <sheetData sheetId="503">
        <row r="2">
          <cell r="B2" t="str">
            <v>NX4e 차종 부품가 견적 집계현황</v>
          </cell>
        </row>
      </sheetData>
      <sheetData sheetId="504">
        <row r="2">
          <cell r="B2" t="str">
            <v>NX4e 차종 부품가 견적 집계현황</v>
          </cell>
        </row>
      </sheetData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>
        <row r="2">
          <cell r="B2" t="str">
            <v>NX4e 차종 부품가 견적 집계현황</v>
          </cell>
        </row>
      </sheetData>
      <sheetData sheetId="517">
        <row r="2">
          <cell r="B2" t="str">
            <v>NX4e 차종 부품가 견적 집계현황</v>
          </cell>
        </row>
      </sheetData>
      <sheetData sheetId="518">
        <row r="2">
          <cell r="B2" t="str">
            <v>NX4e 차종 부품가 견적 집계현황</v>
          </cell>
        </row>
      </sheetData>
      <sheetData sheetId="519">
        <row r="2">
          <cell r="B2" t="str">
            <v>NX4e 차종 부품가 견적 집계현황</v>
          </cell>
        </row>
      </sheetData>
      <sheetData sheetId="520">
        <row r="2">
          <cell r="B2" t="str">
            <v>NX4e 차종 부품가 견적 집계현황</v>
          </cell>
        </row>
      </sheetData>
      <sheetData sheetId="521">
        <row r="2">
          <cell r="B2" t="str">
            <v>NX4e 차종 부품가 견적 집계현황</v>
          </cell>
        </row>
      </sheetData>
      <sheetData sheetId="522">
        <row r="2">
          <cell r="B2" t="str">
            <v>NX4e 차종 부품가 견적 집계현황</v>
          </cell>
        </row>
      </sheetData>
      <sheetData sheetId="523">
        <row r="2">
          <cell r="B2" t="str">
            <v>NX4e 차종 부품가 견적 집계현황</v>
          </cell>
        </row>
      </sheetData>
      <sheetData sheetId="524">
        <row r="2">
          <cell r="B2" t="str">
            <v>NX4e 차종 부품가 견적 집계현황</v>
          </cell>
        </row>
      </sheetData>
      <sheetData sheetId="525">
        <row r="2">
          <cell r="B2" t="str">
            <v>NX4e 차종 부품가 견적 집계현황</v>
          </cell>
        </row>
      </sheetData>
      <sheetData sheetId="526">
        <row r="2">
          <cell r="B2" t="str">
            <v>NX4e 차종 부품가 견적 집계현황</v>
          </cell>
        </row>
      </sheetData>
      <sheetData sheetId="527">
        <row r="2">
          <cell r="B2" t="str">
            <v>NX4e 차종 부품가 견적 집계현황</v>
          </cell>
        </row>
      </sheetData>
      <sheetData sheetId="528">
        <row r="2">
          <cell r="B2" t="str">
            <v>NX4e 차종 부품가 견적 집계현황</v>
          </cell>
        </row>
      </sheetData>
      <sheetData sheetId="529">
        <row r="2">
          <cell r="B2" t="str">
            <v>NX4e 차종 부품가 견적 집계현황</v>
          </cell>
        </row>
      </sheetData>
      <sheetData sheetId="530">
        <row r="2">
          <cell r="B2" t="str">
            <v>NX4e 차종 부품가 견적 집계현황</v>
          </cell>
        </row>
      </sheetData>
      <sheetData sheetId="531">
        <row r="2">
          <cell r="B2" t="str">
            <v>NX4e 차종 부품가 견적 집계현황</v>
          </cell>
        </row>
      </sheetData>
      <sheetData sheetId="532">
        <row r="2">
          <cell r="B2" t="str">
            <v>NX4e 차종 부품가 견적 집계현황</v>
          </cell>
        </row>
      </sheetData>
      <sheetData sheetId="533">
        <row r="2">
          <cell r="B2" t="str">
            <v>NX4e 차종 부품가 견적 집계현황</v>
          </cell>
        </row>
      </sheetData>
      <sheetData sheetId="534">
        <row r="2">
          <cell r="B2" t="str">
            <v>NX4e 차종 부품가 견적 집계현황</v>
          </cell>
        </row>
      </sheetData>
      <sheetData sheetId="535">
        <row r="2">
          <cell r="B2" t="str">
            <v>NX4e 차종 부품가 견적 집계현황</v>
          </cell>
        </row>
      </sheetData>
      <sheetData sheetId="536">
        <row r="2">
          <cell r="B2" t="str">
            <v>NX4e 차종 부품가 견적 집계현황</v>
          </cell>
        </row>
      </sheetData>
      <sheetData sheetId="537">
        <row r="2">
          <cell r="B2" t="str">
            <v>NX4e 차종 부품가 견적 집계현황</v>
          </cell>
        </row>
      </sheetData>
      <sheetData sheetId="538">
        <row r="2">
          <cell r="B2" t="str">
            <v>NX4e 차종 부품가 견적 집계현황</v>
          </cell>
        </row>
      </sheetData>
      <sheetData sheetId="539">
        <row r="2">
          <cell r="B2" t="str">
            <v>NX4e 차종 부품가 견적 집계현황</v>
          </cell>
        </row>
      </sheetData>
      <sheetData sheetId="540">
        <row r="2">
          <cell r="B2" t="str">
            <v>NX4e 차종 부품가 견적 집계현황</v>
          </cell>
        </row>
      </sheetData>
      <sheetData sheetId="541">
        <row r="2">
          <cell r="B2" t="str">
            <v>NX4e 차종 부품가 견적 집계현황</v>
          </cell>
        </row>
      </sheetData>
      <sheetData sheetId="542">
        <row r="2">
          <cell r="B2" t="str">
            <v>NX4e 차종 부품가 견적 집계현황</v>
          </cell>
        </row>
      </sheetData>
      <sheetData sheetId="543">
        <row r="2">
          <cell r="B2" t="str">
            <v>NX4e 차종 부품가 견적 집계현황</v>
          </cell>
        </row>
      </sheetData>
      <sheetData sheetId="544">
        <row r="2">
          <cell r="B2" t="str">
            <v>NX4e 차종 부품가 견적 집계현황</v>
          </cell>
        </row>
      </sheetData>
      <sheetData sheetId="545">
        <row r="2">
          <cell r="B2" t="str">
            <v>NX4e 차종 부품가 견적 집계현황</v>
          </cell>
        </row>
      </sheetData>
      <sheetData sheetId="546">
        <row r="2">
          <cell r="B2" t="str">
            <v>NX4e 차종 부품가 견적 집계현황</v>
          </cell>
        </row>
      </sheetData>
      <sheetData sheetId="547">
        <row r="2">
          <cell r="B2" t="str">
            <v>NX4e 차종 부품가 견적 집계현황</v>
          </cell>
        </row>
      </sheetData>
      <sheetData sheetId="548">
        <row r="2">
          <cell r="B2" t="str">
            <v>NX4e 차종 부품가 견적 집계현황</v>
          </cell>
        </row>
      </sheetData>
      <sheetData sheetId="549">
        <row r="2">
          <cell r="B2" t="str">
            <v>NX4e 차종 부품가 견적 집계현황</v>
          </cell>
        </row>
      </sheetData>
      <sheetData sheetId="550">
        <row r="2">
          <cell r="B2" t="str">
            <v>NX4e 차종 부품가 견적 집계현황</v>
          </cell>
        </row>
      </sheetData>
      <sheetData sheetId="551">
        <row r="2">
          <cell r="B2" t="str">
            <v>NX4e 차종 부품가 견적 집계현황</v>
          </cell>
        </row>
      </sheetData>
      <sheetData sheetId="552">
        <row r="2">
          <cell r="B2" t="str">
            <v>NX4e 차종 부품가 견적 집계현황</v>
          </cell>
        </row>
      </sheetData>
      <sheetData sheetId="553">
        <row r="2">
          <cell r="B2" t="str">
            <v>NX4e 차종 부품가 견적 집계현황</v>
          </cell>
        </row>
      </sheetData>
      <sheetData sheetId="554">
        <row r="2">
          <cell r="B2" t="str">
            <v>NX4e 차종 부품가 견적 집계현황</v>
          </cell>
        </row>
      </sheetData>
      <sheetData sheetId="555">
        <row r="2">
          <cell r="B2" t="str">
            <v>NX4e 차종 부품가 견적 집계현황</v>
          </cell>
        </row>
      </sheetData>
      <sheetData sheetId="556">
        <row r="2">
          <cell r="B2" t="str">
            <v>NX4e 차종 부품가 견적 집계현황</v>
          </cell>
        </row>
      </sheetData>
      <sheetData sheetId="557">
        <row r="2">
          <cell r="B2" t="str">
            <v>NX4e 차종 부품가 견적 집계현황</v>
          </cell>
        </row>
      </sheetData>
      <sheetData sheetId="558">
        <row r="2">
          <cell r="B2" t="str">
            <v>NX4e 차종 부품가 견적 집계현황</v>
          </cell>
        </row>
      </sheetData>
      <sheetData sheetId="559">
        <row r="2">
          <cell r="B2" t="str">
            <v>NX4e 차종 부품가 견적 집계현황</v>
          </cell>
        </row>
      </sheetData>
      <sheetData sheetId="560">
        <row r="2">
          <cell r="B2" t="str">
            <v>NX4e 차종 부품가 견적 집계현황</v>
          </cell>
        </row>
      </sheetData>
      <sheetData sheetId="561">
        <row r="2">
          <cell r="B2" t="str">
            <v>NX4e 차종 부품가 견적 집계현황</v>
          </cell>
        </row>
      </sheetData>
      <sheetData sheetId="562">
        <row r="2">
          <cell r="B2" t="str">
            <v>NX4e 차종 부품가 견적 집계현황</v>
          </cell>
        </row>
      </sheetData>
      <sheetData sheetId="563">
        <row r="2">
          <cell r="B2" t="str">
            <v>NX4e 차종 부품가 견적 집계현황</v>
          </cell>
        </row>
      </sheetData>
      <sheetData sheetId="564">
        <row r="2">
          <cell r="B2" t="str">
            <v>NX4e 차종 부품가 견적 집계현황</v>
          </cell>
        </row>
      </sheetData>
      <sheetData sheetId="565">
        <row r="2">
          <cell r="B2" t="str">
            <v>NX4e 차종 부품가 견적 집계현황</v>
          </cell>
        </row>
      </sheetData>
      <sheetData sheetId="566">
        <row r="2">
          <cell r="B2" t="str">
            <v>NX4e 차종 부품가 견적 집계현황</v>
          </cell>
        </row>
      </sheetData>
      <sheetData sheetId="567">
        <row r="2">
          <cell r="B2" t="str">
            <v>NX4e 차종 부품가 견적 집계현황</v>
          </cell>
        </row>
      </sheetData>
      <sheetData sheetId="568">
        <row r="2">
          <cell r="B2" t="str">
            <v>NX4e 차종 부품가 견적 집계현황</v>
          </cell>
        </row>
      </sheetData>
      <sheetData sheetId="569">
        <row r="2">
          <cell r="B2" t="str">
            <v>NX4e 차종 부품가 견적 집계현황</v>
          </cell>
        </row>
      </sheetData>
      <sheetData sheetId="570">
        <row r="2">
          <cell r="B2" t="str">
            <v>NX4e 차종 부품가 견적 집계현황</v>
          </cell>
        </row>
      </sheetData>
      <sheetData sheetId="571">
        <row r="2">
          <cell r="B2" t="str">
            <v>NX4e 차종 부품가 견적 집계현황</v>
          </cell>
        </row>
      </sheetData>
      <sheetData sheetId="572">
        <row r="2">
          <cell r="B2" t="str">
            <v>NX4e 차종 부품가 견적 집계현황</v>
          </cell>
        </row>
      </sheetData>
      <sheetData sheetId="573">
        <row r="2">
          <cell r="B2" t="str">
            <v>NX4e 차종 부품가 견적 집계현황</v>
          </cell>
        </row>
      </sheetData>
      <sheetData sheetId="574">
        <row r="2">
          <cell r="B2" t="str">
            <v>NX4e 차종 부품가 견적 집계현황</v>
          </cell>
        </row>
      </sheetData>
      <sheetData sheetId="575">
        <row r="2">
          <cell r="B2" t="str">
            <v>NX4e 차종 부품가 견적 집계현황</v>
          </cell>
        </row>
      </sheetData>
      <sheetData sheetId="576">
        <row r="2">
          <cell r="B2" t="str">
            <v>NX4e 차종 부품가 견적 집계현황</v>
          </cell>
        </row>
      </sheetData>
      <sheetData sheetId="577">
        <row r="2">
          <cell r="B2" t="str">
            <v>NX4e 차종 부품가 견적 집계현황</v>
          </cell>
        </row>
      </sheetData>
      <sheetData sheetId="578">
        <row r="2">
          <cell r="B2" t="str">
            <v>NX4e 차종 부품가 견적 집계현황</v>
          </cell>
        </row>
      </sheetData>
      <sheetData sheetId="579">
        <row r="2">
          <cell r="B2" t="str">
            <v>NX4e 차종 부품가 견적 집계현황</v>
          </cell>
        </row>
      </sheetData>
      <sheetData sheetId="580">
        <row r="2">
          <cell r="B2" t="str">
            <v>NX4e 차종 부품가 견적 집계현황</v>
          </cell>
        </row>
      </sheetData>
      <sheetData sheetId="581">
        <row r="2">
          <cell r="B2" t="str">
            <v>NX4e 차종 부품가 견적 집계현황</v>
          </cell>
        </row>
      </sheetData>
      <sheetData sheetId="582">
        <row r="2">
          <cell r="B2" t="str">
            <v>NX4e 차종 부품가 견적 집계현황</v>
          </cell>
        </row>
      </sheetData>
      <sheetData sheetId="583">
        <row r="2">
          <cell r="B2" t="str">
            <v>NX4e 차종 부품가 견적 집계현황</v>
          </cell>
        </row>
      </sheetData>
      <sheetData sheetId="584">
        <row r="2">
          <cell r="B2" t="str">
            <v>NX4e 차종 부품가 견적 집계현황</v>
          </cell>
        </row>
      </sheetData>
      <sheetData sheetId="585">
        <row r="2">
          <cell r="B2" t="str">
            <v>NX4e 차종 부품가 견적 집계현황</v>
          </cell>
        </row>
      </sheetData>
      <sheetData sheetId="586">
        <row r="2">
          <cell r="B2" t="str">
            <v>NX4e 차종 부품가 견적 집계현황</v>
          </cell>
        </row>
      </sheetData>
      <sheetData sheetId="587">
        <row r="2">
          <cell r="B2" t="str">
            <v>NX4e 차종 부품가 견적 집계현황</v>
          </cell>
        </row>
      </sheetData>
      <sheetData sheetId="588">
        <row r="2">
          <cell r="B2" t="str">
            <v>NX4e 차종 부품가 견적 집계현황</v>
          </cell>
        </row>
      </sheetData>
      <sheetData sheetId="589">
        <row r="2">
          <cell r="B2" t="str">
            <v>NX4e 차종 부품가 견적 집계현황</v>
          </cell>
        </row>
      </sheetData>
      <sheetData sheetId="590">
        <row r="2">
          <cell r="B2" t="str">
            <v>NX4e 차종 부품가 견적 집계현황</v>
          </cell>
        </row>
      </sheetData>
      <sheetData sheetId="591">
        <row r="2">
          <cell r="B2" t="str">
            <v>NX4e 차종 부품가 견적 집계현황</v>
          </cell>
        </row>
      </sheetData>
      <sheetData sheetId="592">
        <row r="2">
          <cell r="B2" t="str">
            <v>NX4e 차종 부품가 견적 집계현황</v>
          </cell>
        </row>
      </sheetData>
      <sheetData sheetId="593">
        <row r="2">
          <cell r="B2" t="str">
            <v>NX4e 차종 부품가 견적 집계현황</v>
          </cell>
        </row>
      </sheetData>
      <sheetData sheetId="594">
        <row r="2">
          <cell r="B2" t="str">
            <v>NX4e 차종 부품가 견적 집계현황</v>
          </cell>
        </row>
      </sheetData>
      <sheetData sheetId="595">
        <row r="2">
          <cell r="B2" t="str">
            <v>NX4e 차종 부품가 견적 집계현황</v>
          </cell>
        </row>
      </sheetData>
      <sheetData sheetId="596">
        <row r="2">
          <cell r="B2" t="str">
            <v>NX4e 차종 부품가 견적 집계현황</v>
          </cell>
        </row>
      </sheetData>
      <sheetData sheetId="597">
        <row r="2">
          <cell r="B2" t="str">
            <v>NX4e 차종 부품가 견적 집계현황</v>
          </cell>
        </row>
      </sheetData>
      <sheetData sheetId="598">
        <row r="2">
          <cell r="B2" t="str">
            <v>NX4e 차종 부품가 견적 집계현황</v>
          </cell>
        </row>
      </sheetData>
      <sheetData sheetId="599">
        <row r="2">
          <cell r="B2" t="str">
            <v>NX4e 차종 부품가 견적 집계현황</v>
          </cell>
        </row>
      </sheetData>
      <sheetData sheetId="600">
        <row r="2">
          <cell r="B2" t="str">
            <v>NX4e 차종 부품가 견적 집계현황</v>
          </cell>
        </row>
      </sheetData>
      <sheetData sheetId="601">
        <row r="2">
          <cell r="B2" t="str">
            <v>NX4e 차종 부품가 견적 집계현황</v>
          </cell>
        </row>
      </sheetData>
      <sheetData sheetId="602">
        <row r="2">
          <cell r="B2" t="str">
            <v>NX4e 차종 부품가 견적 집계현황</v>
          </cell>
        </row>
      </sheetData>
      <sheetData sheetId="603">
        <row r="2">
          <cell r="B2" t="str">
            <v>NX4e 차종 부품가 견적 집계현황</v>
          </cell>
        </row>
      </sheetData>
      <sheetData sheetId="604">
        <row r="2">
          <cell r="B2" t="str">
            <v>NX4e 차종 부품가 견적 집계현황</v>
          </cell>
        </row>
      </sheetData>
      <sheetData sheetId="605">
        <row r="2">
          <cell r="B2" t="str">
            <v>NX4e 차종 부품가 견적 집계현황</v>
          </cell>
        </row>
      </sheetData>
      <sheetData sheetId="606">
        <row r="2">
          <cell r="B2" t="str">
            <v>NX4e 차종 부품가 견적 집계현황</v>
          </cell>
        </row>
      </sheetData>
      <sheetData sheetId="607">
        <row r="2">
          <cell r="B2" t="str">
            <v>NX4e 차종 부품가 견적 집계현황</v>
          </cell>
        </row>
      </sheetData>
      <sheetData sheetId="608">
        <row r="2">
          <cell r="B2" t="str">
            <v>NX4e 차종 부품가 견적 집계현황</v>
          </cell>
        </row>
      </sheetData>
      <sheetData sheetId="609">
        <row r="2">
          <cell r="B2" t="str">
            <v>NX4e 차종 부품가 견적 집계현황</v>
          </cell>
        </row>
      </sheetData>
      <sheetData sheetId="610">
        <row r="2">
          <cell r="B2" t="str">
            <v>NX4e 차종 부품가 견적 집계현황</v>
          </cell>
        </row>
      </sheetData>
      <sheetData sheetId="611">
        <row r="2">
          <cell r="B2" t="str">
            <v>NX4e 차종 부품가 견적 집계현황</v>
          </cell>
        </row>
      </sheetData>
      <sheetData sheetId="612">
        <row r="2">
          <cell r="B2" t="str">
            <v>NX4e 차종 부품가 견적 집계현황</v>
          </cell>
        </row>
      </sheetData>
      <sheetData sheetId="613">
        <row r="2">
          <cell r="B2" t="str">
            <v>NX4e 차종 부품가 견적 집계현황</v>
          </cell>
        </row>
      </sheetData>
      <sheetData sheetId="614">
        <row r="2">
          <cell r="B2" t="str">
            <v>NX4e 차종 부품가 견적 집계현황</v>
          </cell>
        </row>
      </sheetData>
      <sheetData sheetId="615">
        <row r="2">
          <cell r="B2" t="str">
            <v>NX4e 차종 부품가 견적 집계현황</v>
          </cell>
        </row>
      </sheetData>
      <sheetData sheetId="616">
        <row r="2">
          <cell r="B2" t="str">
            <v>NX4e 차종 부품가 견적 집계현황</v>
          </cell>
        </row>
      </sheetData>
      <sheetData sheetId="617">
        <row r="2">
          <cell r="B2" t="str">
            <v>NX4e 차종 부품가 견적 집계현황</v>
          </cell>
        </row>
      </sheetData>
      <sheetData sheetId="618">
        <row r="2">
          <cell r="B2" t="str">
            <v>NX4e 차종 부품가 견적 집계현황</v>
          </cell>
        </row>
      </sheetData>
      <sheetData sheetId="619">
        <row r="2">
          <cell r="B2" t="str">
            <v>NX4e 차종 부품가 견적 집계현황</v>
          </cell>
        </row>
      </sheetData>
      <sheetData sheetId="620">
        <row r="2">
          <cell r="B2" t="str">
            <v>NX4e 차종 부품가 견적 집계현황</v>
          </cell>
        </row>
      </sheetData>
      <sheetData sheetId="621">
        <row r="2">
          <cell r="B2" t="str">
            <v>NX4e 차종 부품가 견적 집계현황</v>
          </cell>
        </row>
      </sheetData>
      <sheetData sheetId="622">
        <row r="2">
          <cell r="B2" t="str">
            <v>NX4e 차종 부품가 견적 집계현황</v>
          </cell>
        </row>
      </sheetData>
      <sheetData sheetId="623">
        <row r="2">
          <cell r="B2" t="str">
            <v>NX4e 차종 부품가 견적 집계현황</v>
          </cell>
        </row>
      </sheetData>
      <sheetData sheetId="624">
        <row r="2">
          <cell r="B2" t="str">
            <v>NX4e 차종 부품가 견적 집계현황</v>
          </cell>
        </row>
      </sheetData>
      <sheetData sheetId="625">
        <row r="2">
          <cell r="B2" t="str">
            <v>NX4e 차종 부품가 견적 집계현황</v>
          </cell>
        </row>
      </sheetData>
      <sheetData sheetId="626">
        <row r="2">
          <cell r="B2" t="str">
            <v>NX4e 차종 부품가 견적 집계현황</v>
          </cell>
        </row>
      </sheetData>
      <sheetData sheetId="627">
        <row r="2">
          <cell r="B2" t="str">
            <v>NX4e 차종 부품가 견적 집계현황</v>
          </cell>
        </row>
      </sheetData>
      <sheetData sheetId="628">
        <row r="2">
          <cell r="B2" t="str">
            <v>NX4e 차종 부품가 견적 집계현황</v>
          </cell>
        </row>
      </sheetData>
      <sheetData sheetId="629">
        <row r="2">
          <cell r="B2" t="str">
            <v>NX4e 차종 부품가 견적 집계현황</v>
          </cell>
        </row>
      </sheetData>
      <sheetData sheetId="630">
        <row r="2">
          <cell r="B2" t="str">
            <v>NX4e 차종 부품가 견적 집계현황</v>
          </cell>
        </row>
      </sheetData>
      <sheetData sheetId="631">
        <row r="2">
          <cell r="B2" t="str">
            <v>NX4e 차종 부품가 견적 집계현황</v>
          </cell>
        </row>
      </sheetData>
      <sheetData sheetId="632">
        <row r="2">
          <cell r="B2" t="str">
            <v>NX4e 차종 부품가 견적 집계현황</v>
          </cell>
        </row>
      </sheetData>
      <sheetData sheetId="633">
        <row r="2">
          <cell r="B2" t="str">
            <v>NX4e 차종 부품가 견적 집계현황</v>
          </cell>
        </row>
      </sheetData>
      <sheetData sheetId="634">
        <row r="2">
          <cell r="B2" t="str">
            <v>NX4e 차종 부품가 견적 집계현황</v>
          </cell>
        </row>
      </sheetData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>
        <row r="2">
          <cell r="B2" t="str">
            <v>NX4e 차종 부품가 견적 집계현황</v>
          </cell>
        </row>
      </sheetData>
      <sheetData sheetId="931">
        <row r="2">
          <cell r="B2" t="str">
            <v>NX4e 차종 부품가 견적 집계현황</v>
          </cell>
        </row>
      </sheetData>
      <sheetData sheetId="932">
        <row r="2">
          <cell r="B2" t="str">
            <v>NX4e 차종 부품가 견적 집계현황</v>
          </cell>
        </row>
      </sheetData>
      <sheetData sheetId="933">
        <row r="2">
          <cell r="B2" t="str">
            <v>NX4e 차종 부품가 견적 집계현황</v>
          </cell>
        </row>
      </sheetData>
      <sheetData sheetId="934">
        <row r="2">
          <cell r="B2" t="str">
            <v>NX4e 차종 부품가 견적 집계현황</v>
          </cell>
        </row>
      </sheetData>
      <sheetData sheetId="935"/>
      <sheetData sheetId="936"/>
      <sheetData sheetId="937">
        <row r="2">
          <cell r="B2" t="str">
            <v>NX4e 차종 부품가 견적 집계현황</v>
          </cell>
        </row>
      </sheetData>
      <sheetData sheetId="938">
        <row r="2">
          <cell r="B2" t="str">
            <v>NX4e 차종 부품가 견적 집계현황</v>
          </cell>
        </row>
      </sheetData>
      <sheetData sheetId="939">
        <row r="2">
          <cell r="B2" t="str">
            <v>NX4e 차종 부품가 견적 집계현황</v>
          </cell>
        </row>
      </sheetData>
      <sheetData sheetId="940">
        <row r="2">
          <cell r="B2" t="str">
            <v>NX4e 차종 부품가 견적 집계현황</v>
          </cell>
        </row>
      </sheetData>
      <sheetData sheetId="941">
        <row r="2">
          <cell r="B2" t="str">
            <v>NX4e 차종 부품가 견적 집계현황</v>
          </cell>
        </row>
      </sheetData>
      <sheetData sheetId="942">
        <row r="2">
          <cell r="B2" t="str">
            <v>NX4e 차종 부품가 견적 집계현황</v>
          </cell>
        </row>
      </sheetData>
      <sheetData sheetId="943">
        <row r="2">
          <cell r="B2" t="str">
            <v>NX4e 차종 부품가 견적 집계현황</v>
          </cell>
        </row>
      </sheetData>
      <sheetData sheetId="944">
        <row r="2">
          <cell r="B2" t="str">
            <v>NX4e 차종 부품가 견적 집계현황</v>
          </cell>
        </row>
      </sheetData>
      <sheetData sheetId="945">
        <row r="2">
          <cell r="B2" t="str">
            <v>NX4e 차종 부품가 견적 집계현황</v>
          </cell>
        </row>
      </sheetData>
      <sheetData sheetId="946">
        <row r="2">
          <cell r="B2" t="str">
            <v>NX4e 차종 부품가 견적 집계현황</v>
          </cell>
        </row>
      </sheetData>
      <sheetData sheetId="947">
        <row r="2">
          <cell r="B2" t="str">
            <v>NX4e 차종 부품가 견적 집계현황</v>
          </cell>
        </row>
      </sheetData>
      <sheetData sheetId="948">
        <row r="2">
          <cell r="B2" t="str">
            <v>NX4e 차종 부품가 견적 집계현황</v>
          </cell>
        </row>
      </sheetData>
      <sheetData sheetId="949">
        <row r="2">
          <cell r="B2" t="str">
            <v>NX4e 차종 부품가 견적 집계현황</v>
          </cell>
        </row>
      </sheetData>
      <sheetData sheetId="950">
        <row r="2">
          <cell r="B2" t="str">
            <v>NX4e 차종 부품가 견적 집계현황</v>
          </cell>
        </row>
      </sheetData>
      <sheetData sheetId="951">
        <row r="2">
          <cell r="B2" t="str">
            <v>NX4e 차종 부품가 견적 집계현황</v>
          </cell>
        </row>
      </sheetData>
      <sheetData sheetId="952">
        <row r="2">
          <cell r="B2" t="str">
            <v>NX4e 차종 부품가 견적 집계현황</v>
          </cell>
        </row>
      </sheetData>
      <sheetData sheetId="953">
        <row r="2">
          <cell r="B2" t="str">
            <v>NX4e 차종 부품가 견적 집계현황</v>
          </cell>
        </row>
      </sheetData>
      <sheetData sheetId="954">
        <row r="2">
          <cell r="B2" t="str">
            <v>NX4e 차종 부품가 견적 집계현황</v>
          </cell>
        </row>
      </sheetData>
      <sheetData sheetId="955">
        <row r="2">
          <cell r="B2" t="str">
            <v>NX4e 차종 부품가 견적 집계현황</v>
          </cell>
        </row>
      </sheetData>
      <sheetData sheetId="956">
        <row r="2">
          <cell r="B2" t="str">
            <v>NX4e 차종 부품가 견적 집계현황</v>
          </cell>
        </row>
      </sheetData>
      <sheetData sheetId="957">
        <row r="2">
          <cell r="B2" t="str">
            <v>NX4e 차종 부품가 견적 집계현황</v>
          </cell>
        </row>
      </sheetData>
      <sheetData sheetId="958">
        <row r="2">
          <cell r="B2" t="str">
            <v>NX4e 차종 부품가 견적 집계현황</v>
          </cell>
        </row>
      </sheetData>
      <sheetData sheetId="959">
        <row r="2">
          <cell r="B2" t="str">
            <v>NX4e 차종 부품가 견적 집계현황</v>
          </cell>
        </row>
      </sheetData>
      <sheetData sheetId="960">
        <row r="2">
          <cell r="B2" t="str">
            <v>NX4e 차종 부품가 견적 집계현황</v>
          </cell>
        </row>
      </sheetData>
      <sheetData sheetId="961">
        <row r="2">
          <cell r="B2" t="str">
            <v>NX4e 차종 부품가 견적 집계현황</v>
          </cell>
        </row>
      </sheetData>
      <sheetData sheetId="962">
        <row r="2">
          <cell r="B2" t="str">
            <v>NX4e 차종 부품가 견적 집계현황</v>
          </cell>
        </row>
      </sheetData>
      <sheetData sheetId="963">
        <row r="2">
          <cell r="B2" t="str">
            <v>NX4e 차종 부품가 견적 집계현황</v>
          </cell>
        </row>
      </sheetData>
      <sheetData sheetId="964">
        <row r="2">
          <cell r="B2" t="str">
            <v>NX4e 차종 부품가 견적 집계현황</v>
          </cell>
        </row>
      </sheetData>
      <sheetData sheetId="965">
        <row r="2">
          <cell r="B2" t="str">
            <v>NX4e 차종 부품가 견적 집계현황</v>
          </cell>
        </row>
      </sheetData>
      <sheetData sheetId="966">
        <row r="2">
          <cell r="B2" t="str">
            <v>NX4e 차종 부품가 견적 집계현황</v>
          </cell>
        </row>
      </sheetData>
      <sheetData sheetId="967">
        <row r="2">
          <cell r="B2" t="str">
            <v>NX4e 차종 부품가 견적 집계현황</v>
          </cell>
        </row>
      </sheetData>
      <sheetData sheetId="968">
        <row r="2">
          <cell r="B2" t="str">
            <v>NX4e 차종 부품가 견적 집계현황</v>
          </cell>
        </row>
      </sheetData>
      <sheetData sheetId="969">
        <row r="2">
          <cell r="B2" t="str">
            <v>NX4e 차종 부품가 견적 집계현황</v>
          </cell>
        </row>
      </sheetData>
      <sheetData sheetId="970">
        <row r="2">
          <cell r="B2" t="str">
            <v>NX4e 차종 부품가 견적 집계현황</v>
          </cell>
        </row>
      </sheetData>
      <sheetData sheetId="971">
        <row r="2">
          <cell r="B2" t="str">
            <v>NX4e 차종 부품가 견적 집계현황</v>
          </cell>
        </row>
      </sheetData>
      <sheetData sheetId="972">
        <row r="2">
          <cell r="B2" t="str">
            <v>NX4e 차종 부품가 견적 집계현황</v>
          </cell>
        </row>
      </sheetData>
      <sheetData sheetId="973">
        <row r="2">
          <cell r="B2" t="str">
            <v>NX4e 차종 부품가 견적 집계현황</v>
          </cell>
        </row>
      </sheetData>
      <sheetData sheetId="974">
        <row r="2">
          <cell r="B2" t="str">
            <v>NX4e 차종 부품가 견적 집계현황</v>
          </cell>
        </row>
      </sheetData>
      <sheetData sheetId="975">
        <row r="2">
          <cell r="B2" t="str">
            <v>NX4e 차종 부품가 견적 집계현황</v>
          </cell>
        </row>
      </sheetData>
      <sheetData sheetId="976">
        <row r="2">
          <cell r="B2" t="str">
            <v>NX4e 차종 부품가 견적 집계현황</v>
          </cell>
        </row>
      </sheetData>
      <sheetData sheetId="977">
        <row r="2">
          <cell r="B2" t="str">
            <v>NX4e 차종 부품가 견적 집계현황</v>
          </cell>
        </row>
      </sheetData>
      <sheetData sheetId="978">
        <row r="2">
          <cell r="B2" t="str">
            <v>NX4e 차종 부품가 견적 집계현황</v>
          </cell>
        </row>
      </sheetData>
      <sheetData sheetId="979">
        <row r="2">
          <cell r="B2" t="str">
            <v>NX4e 차종 부품가 견적 집계현황</v>
          </cell>
        </row>
      </sheetData>
      <sheetData sheetId="980">
        <row r="2">
          <cell r="B2" t="str">
            <v>NX4e 차종 부품가 견적 집계현황</v>
          </cell>
        </row>
      </sheetData>
      <sheetData sheetId="981">
        <row r="2">
          <cell r="B2" t="str">
            <v>NX4e 차종 부품가 견적 집계현황</v>
          </cell>
        </row>
      </sheetData>
      <sheetData sheetId="982">
        <row r="2">
          <cell r="B2" t="str">
            <v>NX4e 차종 부품가 견적 집계현황</v>
          </cell>
        </row>
      </sheetData>
      <sheetData sheetId="983">
        <row r="2">
          <cell r="B2" t="str">
            <v>NX4e 차종 부품가 견적 집계현황</v>
          </cell>
        </row>
      </sheetData>
      <sheetData sheetId="984">
        <row r="2">
          <cell r="B2" t="str">
            <v>NX4e 차종 부품가 견적 집계현황</v>
          </cell>
        </row>
      </sheetData>
      <sheetData sheetId="985">
        <row r="2">
          <cell r="B2" t="str">
            <v>NX4e 차종 부품가 견적 집계현황</v>
          </cell>
        </row>
      </sheetData>
      <sheetData sheetId="986">
        <row r="2">
          <cell r="B2" t="str">
            <v>NX4e 차종 부품가 견적 집계현황</v>
          </cell>
        </row>
      </sheetData>
      <sheetData sheetId="987">
        <row r="2">
          <cell r="B2" t="str">
            <v>NX4e 차종 부품가 견적 집계현황</v>
          </cell>
        </row>
      </sheetData>
      <sheetData sheetId="988">
        <row r="2">
          <cell r="B2" t="str">
            <v>NX4e 차종 부품가 견적 집계현황</v>
          </cell>
        </row>
      </sheetData>
      <sheetData sheetId="989">
        <row r="2">
          <cell r="B2" t="str">
            <v>NX4e 차종 부품가 견적 집계현황</v>
          </cell>
        </row>
      </sheetData>
      <sheetData sheetId="990">
        <row r="2">
          <cell r="B2" t="str">
            <v>NX4e 차종 부품가 견적 집계현황</v>
          </cell>
        </row>
      </sheetData>
      <sheetData sheetId="991">
        <row r="2">
          <cell r="B2" t="str">
            <v>NX4e 차종 부품가 견적 집계현황</v>
          </cell>
        </row>
      </sheetData>
      <sheetData sheetId="992">
        <row r="2">
          <cell r="B2" t="str">
            <v>NX4e 차종 부품가 견적 집계현황</v>
          </cell>
        </row>
      </sheetData>
      <sheetData sheetId="993">
        <row r="2">
          <cell r="B2" t="str">
            <v>NX4e 차종 부품가 견적 집계현황</v>
          </cell>
        </row>
      </sheetData>
      <sheetData sheetId="994">
        <row r="2">
          <cell r="B2" t="str">
            <v>NX4e 차종 부품가 견적 집계현황</v>
          </cell>
        </row>
      </sheetData>
      <sheetData sheetId="995">
        <row r="2">
          <cell r="B2" t="str">
            <v>NX4e 차종 부품가 견적 집계현황</v>
          </cell>
        </row>
      </sheetData>
      <sheetData sheetId="996">
        <row r="2">
          <cell r="B2" t="str">
            <v>NX4e 차종 부품가 견적 집계현황</v>
          </cell>
        </row>
      </sheetData>
      <sheetData sheetId="997">
        <row r="2">
          <cell r="B2" t="str">
            <v>NX4e 차종 부품가 견적 집계현황</v>
          </cell>
        </row>
      </sheetData>
      <sheetData sheetId="998">
        <row r="2">
          <cell r="B2" t="str">
            <v>NX4e 차종 부품가 견적 집계현황</v>
          </cell>
        </row>
      </sheetData>
      <sheetData sheetId="999">
        <row r="2">
          <cell r="B2" t="str">
            <v>NX4e 차종 부품가 견적 집계현황</v>
          </cell>
        </row>
      </sheetData>
      <sheetData sheetId="1000">
        <row r="2">
          <cell r="B2" t="str">
            <v>NX4e 차종 부품가 견적 집계현황</v>
          </cell>
        </row>
      </sheetData>
      <sheetData sheetId="1001">
        <row r="2">
          <cell r="B2" t="str">
            <v>NX4e 차종 부품가 견적 집계현황</v>
          </cell>
        </row>
      </sheetData>
      <sheetData sheetId="1002">
        <row r="2">
          <cell r="B2" t="str">
            <v>NX4e 차종 부품가 견적 집계현황</v>
          </cell>
        </row>
      </sheetData>
      <sheetData sheetId="1003">
        <row r="2">
          <cell r="B2" t="str">
            <v>NX4e 차종 부품가 견적 집계현황</v>
          </cell>
        </row>
      </sheetData>
      <sheetData sheetId="1004">
        <row r="2">
          <cell r="B2" t="str">
            <v>NX4e 차종 부품가 견적 집계현황</v>
          </cell>
        </row>
      </sheetData>
      <sheetData sheetId="1005">
        <row r="2">
          <cell r="B2" t="str">
            <v>NX4e 차종 부품가 견적 집계현황</v>
          </cell>
        </row>
      </sheetData>
      <sheetData sheetId="1006">
        <row r="2">
          <cell r="B2" t="str">
            <v>NX4e 차종 부품가 견적 집계현황</v>
          </cell>
        </row>
      </sheetData>
      <sheetData sheetId="1007">
        <row r="2">
          <cell r="B2" t="str">
            <v>NX4e 차종 부품가 견적 집계현황</v>
          </cell>
        </row>
      </sheetData>
      <sheetData sheetId="1008">
        <row r="2">
          <cell r="B2" t="str">
            <v>NX4e 차종 부품가 견적 집계현황</v>
          </cell>
        </row>
      </sheetData>
      <sheetData sheetId="1009">
        <row r="2">
          <cell r="B2" t="str">
            <v>NX4e 차종 부품가 견적 집계현황</v>
          </cell>
        </row>
      </sheetData>
      <sheetData sheetId="1010">
        <row r="2">
          <cell r="B2" t="str">
            <v>NX4e 차종 부품가 견적 집계현황</v>
          </cell>
        </row>
      </sheetData>
      <sheetData sheetId="1011">
        <row r="2">
          <cell r="B2" t="str">
            <v>NX4e 차종 부품가 견적 집계현황</v>
          </cell>
        </row>
      </sheetData>
      <sheetData sheetId="1012">
        <row r="2">
          <cell r="B2" t="str">
            <v>NX4e 차종 부품가 견적 집계현황</v>
          </cell>
        </row>
      </sheetData>
      <sheetData sheetId="1013">
        <row r="2">
          <cell r="B2" t="str">
            <v>NX4e 차종 부품가 견적 집계현황</v>
          </cell>
        </row>
      </sheetData>
      <sheetData sheetId="1014">
        <row r="2">
          <cell r="B2" t="str">
            <v>NX4e 차종 부품가 견적 집계현황</v>
          </cell>
        </row>
      </sheetData>
      <sheetData sheetId="1015">
        <row r="2">
          <cell r="B2" t="str">
            <v>NX4e 차종 부품가 견적 집계현황</v>
          </cell>
        </row>
      </sheetData>
      <sheetData sheetId="1016">
        <row r="2">
          <cell r="B2" t="str">
            <v>NX4e 차종 부품가 견적 집계현황</v>
          </cell>
        </row>
      </sheetData>
      <sheetData sheetId="1017">
        <row r="2">
          <cell r="B2" t="str">
            <v>NX4e 차종 부품가 견적 집계현황</v>
          </cell>
        </row>
      </sheetData>
      <sheetData sheetId="1018">
        <row r="2">
          <cell r="B2" t="str">
            <v>NX4e 차종 부품가 견적 집계현황</v>
          </cell>
        </row>
      </sheetData>
      <sheetData sheetId="1019">
        <row r="2">
          <cell r="B2" t="str">
            <v>NX4e 차종 부품가 견적 집계현황</v>
          </cell>
        </row>
      </sheetData>
      <sheetData sheetId="1020">
        <row r="2">
          <cell r="B2" t="str">
            <v>NX4e 차종 부품가 견적 집계현황</v>
          </cell>
        </row>
      </sheetData>
      <sheetData sheetId="1021">
        <row r="2">
          <cell r="B2" t="str">
            <v>NX4e 차종 부품가 견적 집계현황</v>
          </cell>
        </row>
      </sheetData>
      <sheetData sheetId="1022">
        <row r="2">
          <cell r="B2" t="str">
            <v>NX4e 차종 부품가 견적 집계현황</v>
          </cell>
        </row>
      </sheetData>
      <sheetData sheetId="1023">
        <row r="2">
          <cell r="B2" t="str">
            <v>NX4e 차종 부품가 견적 집계현황</v>
          </cell>
        </row>
      </sheetData>
      <sheetData sheetId="1024">
        <row r="2">
          <cell r="B2" t="str">
            <v>NX4e 차종 부품가 견적 집계현황</v>
          </cell>
        </row>
      </sheetData>
      <sheetData sheetId="1025">
        <row r="2">
          <cell r="B2" t="str">
            <v>NX4e 차종 부품가 견적 집계현황</v>
          </cell>
        </row>
      </sheetData>
      <sheetData sheetId="1026">
        <row r="2">
          <cell r="B2" t="str">
            <v>NX4e 차종 부품가 견적 집계현황</v>
          </cell>
        </row>
      </sheetData>
      <sheetData sheetId="1027">
        <row r="2">
          <cell r="B2" t="str">
            <v>NX4e 차종 부품가 견적 집계현황</v>
          </cell>
        </row>
      </sheetData>
      <sheetData sheetId="1028">
        <row r="2">
          <cell r="B2" t="str">
            <v>NX4e 차종 부품가 견적 집계현황</v>
          </cell>
        </row>
      </sheetData>
      <sheetData sheetId="1029">
        <row r="2">
          <cell r="B2" t="str">
            <v>NX4e 차종 부품가 견적 집계현황</v>
          </cell>
        </row>
      </sheetData>
      <sheetData sheetId="1030">
        <row r="2">
          <cell r="B2" t="str">
            <v>NX4e 차종 부품가 견적 집계현황</v>
          </cell>
        </row>
      </sheetData>
      <sheetData sheetId="1031">
        <row r="2">
          <cell r="B2" t="str">
            <v>NX4e 차종 부품가 견적 집계현황</v>
          </cell>
        </row>
      </sheetData>
      <sheetData sheetId="1032">
        <row r="2">
          <cell r="B2" t="str">
            <v>NX4e 차종 부품가 견적 집계현황</v>
          </cell>
        </row>
      </sheetData>
      <sheetData sheetId="1033">
        <row r="2">
          <cell r="B2" t="str">
            <v>NX4e 차종 부품가 견적 집계현황</v>
          </cell>
        </row>
      </sheetData>
      <sheetData sheetId="1034">
        <row r="2">
          <cell r="B2" t="str">
            <v>NX4e 차종 부품가 견적 집계현황</v>
          </cell>
        </row>
      </sheetData>
      <sheetData sheetId="1035">
        <row r="2">
          <cell r="B2" t="str">
            <v>NX4e 차종 부품가 견적 집계현황</v>
          </cell>
        </row>
      </sheetData>
      <sheetData sheetId="1036">
        <row r="2">
          <cell r="B2" t="str">
            <v>NX4e 차종 부품가 견적 집계현황</v>
          </cell>
        </row>
      </sheetData>
      <sheetData sheetId="1037">
        <row r="2">
          <cell r="B2" t="str">
            <v>NX4e 차종 부품가 견적 집계현황</v>
          </cell>
        </row>
      </sheetData>
      <sheetData sheetId="1038">
        <row r="2">
          <cell r="B2" t="str">
            <v>NX4e 차종 부품가 견적 집계현황</v>
          </cell>
        </row>
      </sheetData>
      <sheetData sheetId="1039">
        <row r="2">
          <cell r="B2" t="str">
            <v>NX4e 차종 부품가 견적 집계현황</v>
          </cell>
        </row>
      </sheetData>
      <sheetData sheetId="1040">
        <row r="2">
          <cell r="B2" t="str">
            <v>NX4e 차종 부품가 견적 집계현황</v>
          </cell>
        </row>
      </sheetData>
      <sheetData sheetId="1041">
        <row r="2">
          <cell r="B2" t="str">
            <v>NX4e 차종 부품가 견적 집계현황</v>
          </cell>
        </row>
      </sheetData>
      <sheetData sheetId="1042">
        <row r="2">
          <cell r="B2" t="str">
            <v>NX4e 차종 부품가 견적 집계현황</v>
          </cell>
        </row>
      </sheetData>
      <sheetData sheetId="1043">
        <row r="2">
          <cell r="B2" t="str">
            <v>NX4e 차종 부품가 견적 집계현황</v>
          </cell>
        </row>
      </sheetData>
      <sheetData sheetId="1044">
        <row r="2">
          <cell r="B2" t="str">
            <v>NX4e 차종 부품가 견적 집계현황</v>
          </cell>
        </row>
      </sheetData>
      <sheetData sheetId="1045">
        <row r="2">
          <cell r="B2" t="str">
            <v>NX4e 차종 부품가 견적 집계현황</v>
          </cell>
        </row>
      </sheetData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>
        <row r="2">
          <cell r="B2" t="str">
            <v>NX4e 차종 부품가 견적 집계현황</v>
          </cell>
        </row>
      </sheetData>
      <sheetData sheetId="1059">
        <row r="2">
          <cell r="B2" t="str">
            <v>NX4e 차종 부품가 견적 집계현황</v>
          </cell>
        </row>
      </sheetData>
      <sheetData sheetId="1060">
        <row r="2">
          <cell r="B2" t="str">
            <v>NX4e 차종 부품가 견적 집계현황</v>
          </cell>
        </row>
      </sheetData>
      <sheetData sheetId="1061">
        <row r="2">
          <cell r="B2" t="str">
            <v>NX4e 차종 부품가 견적 집계현황</v>
          </cell>
        </row>
      </sheetData>
      <sheetData sheetId="1062">
        <row r="2">
          <cell r="B2" t="str">
            <v>NX4e 차종 부품가 견적 집계현황</v>
          </cell>
        </row>
      </sheetData>
      <sheetData sheetId="1063">
        <row r="2">
          <cell r="B2" t="str">
            <v>NX4e 차종 부품가 견적 집계현황</v>
          </cell>
        </row>
      </sheetData>
      <sheetData sheetId="1064">
        <row r="2">
          <cell r="B2" t="str">
            <v>NX4e 차종 부품가 견적 집계현황</v>
          </cell>
        </row>
      </sheetData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>
        <row r="1">
          <cell r="A1">
            <v>0</v>
          </cell>
        </row>
      </sheetData>
      <sheetData sheetId="1417">
        <row r="1">
          <cell r="A1">
            <v>0</v>
          </cell>
        </row>
      </sheetData>
      <sheetData sheetId="1418">
        <row r="1">
          <cell r="A1">
            <v>0</v>
          </cell>
        </row>
      </sheetData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 refreshError="1"/>
      <sheetData sheetId="160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JT3.0견적-구1"/>
      <sheetName val="Mẫu DMVT"/>
      <sheetName val="Mẫu DMVT (2)"/>
      <sheetName val="Sheet1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PRDW30"/>
      <sheetName val="주행"/>
      <sheetName val="내부결재용"/>
      <sheetName val="p2-1"/>
      <sheetName val="1ဲ.ALT"/>
      <sheetName val="1ဳ.O.S"/>
      <sheetName val="15.၄AMPER"/>
      <sheetName val="96"/>
      <sheetName val="협조전"/>
      <sheetName val="626TD"/>
      <sheetName val="FMEAPRO5"/>
      <sheetName val="GB-IC Villingen GG"/>
      <sheetName val="BACK DATA 08.7.1~"/>
      <sheetName val="E.W"/>
      <sheetName val="P.W"/>
      <sheetName val="가공비data"/>
      <sheetName val="S.W"/>
      <sheetName val="BACK DATA"/>
      <sheetName val="KMCWD"/>
      <sheetName val="OPT손익 내수"/>
      <sheetName val="OPT손익 수출"/>
      <sheetName val="Sheet4"/>
      <sheetName val="二.POSITION.XLS"/>
      <sheetName val="반송불량율"/>
      <sheetName val="10월작업불량"/>
      <sheetName val=""/>
      <sheetName val="#REF"/>
      <sheetName val="불량현황"/>
      <sheetName val="재료(확정,11월19일)"/>
      <sheetName val="MH_생산"/>
      <sheetName val="손익"/>
      <sheetName val="일자별"/>
      <sheetName val="●일일실적"/>
      <sheetName val="자산LIST"/>
      <sheetName val="BM_NEW2"/>
      <sheetName val="점유면적"/>
      <sheetName val="정리"/>
      <sheetName val="기초자료"/>
      <sheetName val="VT원단위"/>
      <sheetName val="기초"/>
      <sheetName val="KD율"/>
      <sheetName val="GRACE"/>
      <sheetName val="시설업체주소록"/>
      <sheetName val="64164"/>
      <sheetName val="외주현황.wq1"/>
      <sheetName val="PP%계산"/>
      <sheetName val="2.대외공문"/>
      <sheetName val="현금경비중역"/>
      <sheetName val="HOUSING"/>
      <sheetName val="TEMP TORQUE"/>
      <sheetName val="1"/>
      <sheetName val="진행 DATA (2)"/>
      <sheetName val="MBNBSMTR"/>
      <sheetName val="5.세운W-A"/>
      <sheetName val="항목(1)"/>
      <sheetName val="출력값"/>
      <sheetName val="engline"/>
      <sheetName val="동아합의"/>
      <sheetName val="WEIGHT"/>
      <sheetName val="95계획"/>
      <sheetName val="카메라"/>
      <sheetName val="126.255"/>
      <sheetName val="B053 (990701)공정실적PP%계산"/>
      <sheetName val="RHN"/>
      <sheetName val="TOTAL"/>
      <sheetName val="기초DATA"/>
      <sheetName val="RESN_SUM"/>
      <sheetName val="Actions"/>
      <sheetName val="상용"/>
      <sheetName val="건축공사"/>
      <sheetName val="14.1부"/>
      <sheetName val="BL제조표준"/>
      <sheetName val="CASE ASM"/>
      <sheetName val="공정능력외경"/>
      <sheetName val="Tbom-tot"/>
      <sheetName val="수리결과"/>
      <sheetName val="Sheet2"/>
      <sheetName val="SUB 2월 재검사추이도"/>
      <sheetName val="A-100전제"/>
      <sheetName val="Pc1%계산"/>
      <sheetName val="CIELO발주"/>
      <sheetName val="세부"/>
      <sheetName val="법인+비법인"/>
      <sheetName val="LANOS"/>
      <sheetName val="LEGANZA"/>
      <sheetName val="NUBIRA"/>
      <sheetName val="팀별 합계"/>
      <sheetName val="생산1-1"/>
      <sheetName val="SPEC별"/>
      <sheetName val="일본출1"/>
      <sheetName val="삼공기계"/>
      <sheetName val="화환비상"/>
      <sheetName val="1.변경범위"/>
      <sheetName val="12"/>
      <sheetName val="개발 TOOL 집계표"/>
      <sheetName val="경상 개발비"/>
      <sheetName val="96갑지"/>
      <sheetName val="code"/>
      <sheetName val="C100보고서"/>
      <sheetName val="설비능력및 종합공정능력산출시 사용"/>
      <sheetName val="Data1"/>
      <sheetName val="0000"/>
      <sheetName val="차수"/>
      <sheetName val="직원신상"/>
      <sheetName val="12-30"/>
      <sheetName val="CD-실적"/>
      <sheetName val="LX3.0 RR"/>
      <sheetName val="BACK_DATA_08_7_1~"/>
      <sheetName val="E_W"/>
      <sheetName val="P_W"/>
      <sheetName val="S_W"/>
      <sheetName val="GB-IC_Villingen_GG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외주현황_wq1"/>
      <sheetName val="Claim이력_내수내자"/>
      <sheetName val="T진도"/>
      <sheetName val="5.WIRE적용LIST"/>
      <sheetName val="매출종합.`09"/>
      <sheetName val="부문손익"/>
      <sheetName val="수입"/>
      <sheetName val="계산정보"/>
      <sheetName val="AN43"/>
      <sheetName val="구동"/>
      <sheetName val="생계99ST"/>
      <sheetName val="HCCE01"/>
      <sheetName val="c.db"/>
      <sheetName val="(BS,CF)-BACK"/>
      <sheetName val="N46"/>
      <sheetName val="TCA"/>
      <sheetName val="3.일반사상"/>
      <sheetName val="16~31"/>
      <sheetName val="MACRO1.XLM"/>
      <sheetName val="생산"/>
      <sheetName val="진도현황"/>
      <sheetName val="CLM-MP"/>
      <sheetName val="BUS제원1"/>
      <sheetName val="CALENDAR"/>
      <sheetName val="CVT산정"/>
      <sheetName val="DOOR"/>
      <sheetName val="전체현황"/>
      <sheetName val="프로젝트"/>
      <sheetName val="5-1차수정"/>
      <sheetName val="1.2내수"/>
      <sheetName val="재1"/>
      <sheetName val="95하U$가격"/>
      <sheetName val="RDLEVLST"/>
      <sheetName val="폼관조직"/>
      <sheetName val="차체"/>
      <sheetName val="부품LIST"/>
      <sheetName val="환율"/>
      <sheetName val="공정별설비검토"/>
      <sheetName val="검토사항"/>
      <sheetName val="BAU"/>
      <sheetName val="진행_DATA_(2)"/>
      <sheetName val="1_2내수"/>
      <sheetName val="2_2공정능력"/>
      <sheetName val="추이도"/>
      <sheetName val="2000 (원본)"/>
      <sheetName val="본부별팀별9911"/>
      <sheetName val="DAT(목표)"/>
      <sheetName val="LEASE4"/>
      <sheetName val="차체부품 INS REPORT(갑)"/>
      <sheetName val="본문"/>
      <sheetName val="major"/>
      <sheetName val="FUEL FILLER"/>
      <sheetName val="PC%계산"/>
      <sheetName val="SM-NEW"/>
      <sheetName val="전부인쇄"/>
      <sheetName val="day"/>
      <sheetName val="명단"/>
      <sheetName val="RD제품개발투자비(매가)"/>
      <sheetName val="Macro1"/>
      <sheetName val="2"/>
      <sheetName val="환율기준"/>
      <sheetName val="3-2.귀책부서별 DT현황"/>
      <sheetName val="초도발주서"/>
      <sheetName val="미국"/>
      <sheetName val="통합data"/>
      <sheetName val=" 납촉자"/>
      <sheetName val="업체명"/>
      <sheetName val="순위"/>
      <sheetName val="Macro2"/>
      <sheetName val="INPUT"/>
      <sheetName val="대외공문"/>
      <sheetName val="확정실적"/>
      <sheetName val="뒤차축소"/>
      <sheetName val="원본"/>
      <sheetName val="82150-39000"/>
      <sheetName val="M1master"/>
      <sheetName val="RC"/>
      <sheetName val="Open"/>
      <sheetName val="FUEL_FILLER"/>
      <sheetName val="차체부품_INS_REPORT(갑)"/>
      <sheetName val="2_대외공문"/>
      <sheetName val="5_WIRE적용LIST"/>
      <sheetName val="제품목록"/>
      <sheetName val="작성양식"/>
      <sheetName val="단중표"/>
      <sheetName val="재료율"/>
      <sheetName val="참조영역"/>
      <sheetName val="영업"/>
      <sheetName val="RHD"/>
      <sheetName val="검구사양서"/>
      <sheetName val="액슬"/>
      <sheetName val="종합"/>
      <sheetName val="프레임"/>
      <sheetName val="교육계획"/>
      <sheetName val="설비"/>
      <sheetName val="DWPM"/>
      <sheetName val="계산DATA입력"/>
      <sheetName val="EQ"/>
      <sheetName val="97"/>
      <sheetName val="품의서"/>
      <sheetName val="F4-F7"/>
      <sheetName val="업종별"/>
      <sheetName val="신규DEP"/>
      <sheetName val="투자-국내2"/>
      <sheetName val="콤보"/>
      <sheetName val="운영실적(세부)"/>
      <sheetName val="품의예산"/>
      <sheetName val="대일산업"/>
      <sheetName val="그패프"/>
      <sheetName val="_납촉자"/>
      <sheetName val="3_일반사상"/>
      <sheetName val="HP1AMLIST"/>
      <sheetName val="등속"/>
      <sheetName val="효율계획(당월)"/>
      <sheetName val="J150 승인진도관리 LIST"/>
      <sheetName val="LIST"/>
      <sheetName val="TOTAL LIST"/>
      <sheetName val="EXP-COST"/>
      <sheetName val="지정공장"/>
      <sheetName val="서울정비"/>
      <sheetName val="data"/>
      <sheetName val="전체실적"/>
      <sheetName val="Price Range"/>
      <sheetName val="FTR MACRo"/>
      <sheetName val="BRAKE"/>
      <sheetName val="원소재인상자료"/>
      <sheetName val="56"/>
      <sheetName val="customer"/>
      <sheetName val="_x0000_PRDW30.XL"/>
      <sheetName val="5_세운W-A"/>
      <sheetName val="PRESS DATA"/>
      <sheetName val="Lookups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1ဲ_ALT1"/>
      <sheetName val="1ဳ_O_S1"/>
      <sheetName val="15_၄AMPER1"/>
      <sheetName val="二_POSITION_XLS1"/>
      <sheetName val="GB-IC_Villingen_GG1"/>
      <sheetName val="BACK_DATA_08_7_1~1"/>
      <sheetName val="E_W1"/>
      <sheetName val="P_W1"/>
      <sheetName val="S_W1"/>
      <sheetName val="BACK_DATA1"/>
      <sheetName val="OPT손익_내수1"/>
      <sheetName val="OPT손익_수출1"/>
      <sheetName val="외주현황_wq11"/>
      <sheetName val="2_대외공문1"/>
      <sheetName val="TEMP_TORQUE"/>
      <sheetName val="5_세운W-A1"/>
      <sheetName val="126_255"/>
      <sheetName val="B053_(990701)공정실적PP%계산"/>
      <sheetName val="14_1부"/>
      <sheetName val="CASE_ASM"/>
      <sheetName val="SUB_2월_재검사추이도"/>
      <sheetName val="팀별_합계"/>
      <sheetName val="JT3_0견적-구1"/>
      <sheetName val="1_변경범위"/>
      <sheetName val="개발_TOOL_집계표"/>
      <sheetName val="경상_개발비"/>
      <sheetName val="설비능력및_종합공정능력산출시_사용"/>
      <sheetName val="LX3_0_RR"/>
      <sheetName val="매출종합_`09"/>
      <sheetName val="c_db"/>
      <sheetName val="MACRO1_XLM"/>
      <sheetName val="PRDW30_XL"/>
      <sheetName val="PRESS_DATA"/>
      <sheetName val="실행"/>
      <sheetName val="LAMBDA 자작"/>
      <sheetName val="목록"/>
      <sheetName val="Nego PV"/>
      <sheetName val="검기갑지"/>
      <sheetName val="5월"/>
      <sheetName val="양식"/>
      <sheetName val="CSTHA616"/>
      <sheetName val="KMO"/>
      <sheetName val="생산일보(전체)"/>
      <sheetName val="RP변환코드"/>
      <sheetName val="운임.환차손-Y"/>
      <sheetName val="report_20"/>
      <sheetName val="camera_30"/>
      <sheetName val="소상 &quot;1&quot;"/>
      <sheetName val="금형품"/>
      <sheetName val="매출계획"/>
      <sheetName val="현재"/>
      <sheetName val="Tiburon"/>
      <sheetName val="선반OPT"/>
      <sheetName val="CPK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Book1"/>
      <sheetName val="기안"/>
      <sheetName val="지부전체"/>
      <sheetName val="COST관리"/>
      <sheetName val="조립지적"/>
      <sheetName val="내경"/>
      <sheetName val="경비공통"/>
      <sheetName val="월별손익"/>
      <sheetName val="변속"/>
      <sheetName val="050218"/>
      <sheetName val="시산표"/>
      <sheetName val="예산계획"/>
      <sheetName val="가격표"/>
      <sheetName val="9-1차이내역"/>
      <sheetName val="구매실(원본)"/>
      <sheetName val="집연95"/>
      <sheetName val="X-3 ENG"/>
      <sheetName val="Specification"/>
      <sheetName val="내수1.8GL"/>
      <sheetName val="Takt"/>
      <sheetName val="상용_mp"/>
      <sheetName val="운임_환차손-Y"/>
      <sheetName val="존4"/>
      <sheetName val="A-A"/>
      <sheetName val="R&amp;D"/>
      <sheetName val="전력시간대(합계)"/>
      <sheetName val="예산코드"/>
      <sheetName val="ML"/>
      <sheetName val="정산내역"/>
      <sheetName val="유효성"/>
      <sheetName val="4월채무증감"/>
      <sheetName val="재질단가"/>
      <sheetName val="악성"/>
      <sheetName val="ALPROFILE 발주실적"/>
      <sheetName val="요약"/>
      <sheetName val="CSP원자재"/>
      <sheetName val="국내품"/>
      <sheetName val="수입부품비"/>
      <sheetName val="조정명세서"/>
      <sheetName val="Evaluation objects"/>
      <sheetName val="Sheet3"/>
      <sheetName val="1-C,D"/>
      <sheetName val="DATAinput"/>
      <sheetName val="총list"/>
      <sheetName val="FACTOR"/>
      <sheetName val="예산실적전체당월"/>
      <sheetName val="712"/>
      <sheetName val="MOTO"/>
      <sheetName val="정미시간"/>
      <sheetName val="ppcarpet"/>
      <sheetName val="불량현상별END"/>
      <sheetName val="가공비(2)"/>
      <sheetName val="S13_관리계획서(체크시트)"/>
      <sheetName val="6월수불"/>
      <sheetName val="소요량분석(부자재)"/>
      <sheetName val="소요량분석(외주)"/>
      <sheetName val="발주"/>
      <sheetName val="07주차별실적"/>
      <sheetName val="MAIN"/>
      <sheetName val="ENG"/>
      <sheetName val="CONT"/>
      <sheetName val="금형비"/>
      <sheetName val="COND"/>
      <sheetName val="월생산"/>
      <sheetName val="TUBE시험성적서"/>
      <sheetName val="근태현황"/>
      <sheetName val="GK차체EO-CUT전"/>
      <sheetName val="전장"/>
      <sheetName val="공평7"/>
      <sheetName val="Grafikdaten"/>
      <sheetName val="득점현황"/>
      <sheetName val="주소(한문)"/>
      <sheetName val="99판매상세"/>
      <sheetName val="대차대조표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소상_&quot;1&quot;"/>
      <sheetName val="Nego_PV"/>
      <sheetName val="LAMBDA_자작"/>
      <sheetName val="Sheet1 (2)"/>
      <sheetName val="다목적갑"/>
      <sheetName val="DATE"/>
      <sheetName val="차종별"/>
      <sheetName val="Sheet5"/>
      <sheetName val="Sheet6 (3)"/>
      <sheetName val="판매종합"/>
      <sheetName val="유효"/>
      <sheetName val="3-2_귀책부서별_DT현황"/>
      <sheetName val="result0927"/>
      <sheetName val="대우자동차용역비"/>
      <sheetName val="PPK"/>
      <sheetName val="불출요청"/>
      <sheetName val="금액"/>
      <sheetName val="p2_1"/>
      <sheetName val=" SR3차원단위 (3)"/>
      <sheetName val="Rate data"/>
      <sheetName val="GK_XDBASE"/>
      <sheetName val="매각단가"/>
      <sheetName val="내용"/>
      <sheetName val="보고"/>
      <sheetName val="분석mast"/>
      <sheetName val="업무분장"/>
      <sheetName val="2공구산출내역"/>
      <sheetName val="계산 DATA 입력"/>
      <sheetName val="상세 계산 내역"/>
      <sheetName val="SANTAMO"/>
      <sheetName val="종합(LH)"/>
      <sheetName val="단가"/>
      <sheetName val="cv"/>
      <sheetName val="K55"/>
      <sheetName val="ORIGIN"/>
      <sheetName val="Sch7a (토요일)"/>
      <sheetName val="98종합"/>
      <sheetName val="PTR台손익"/>
      <sheetName val="resume"/>
      <sheetName val="GLOBAL PT NEW FORMAT OCT 2002"/>
      <sheetName val="RR저항Cp"/>
      <sheetName val="Dashboard"/>
      <sheetName val="MCT6"/>
      <sheetName val="재고자산명세(Y)"/>
      <sheetName val="ASSIGN"/>
      <sheetName val="제안그래프"/>
      <sheetName val="공정및생산관리절차서"/>
      <sheetName val="B"/>
      <sheetName val="대외공문 "/>
      <sheetName val="수주단가"/>
      <sheetName val="일괄인쇄"/>
      <sheetName val="Technology"/>
      <sheetName val="PP%계산-1"/>
      <sheetName val="금형991202"/>
      <sheetName val="건설성적"/>
      <sheetName val="이자율"/>
      <sheetName val="제품원재"/>
      <sheetName val="부재예실1월"/>
      <sheetName val="금강투자2000"/>
      <sheetName val="71336(R)"/>
      <sheetName val="일위대가(계측기설치)"/>
      <sheetName val="표지"/>
      <sheetName val="●현황"/>
      <sheetName val="●목차"/>
      <sheetName val="원가계산서"/>
      <sheetName val="PRO (참조)"/>
      <sheetName val="외주품 감점 유형 기준"/>
      <sheetName val="Danh Mục"/>
      <sheetName val="Danh Muc"/>
      <sheetName val="1_2내수1"/>
      <sheetName val="진행_DATA_(2)1"/>
      <sheetName val="Danh_Mục"/>
      <sheetName val="Danh_Muc"/>
      <sheetName val="파일테이블"/>
      <sheetName val="종합(PD,FD,RS)"/>
      <sheetName val="96수출"/>
      <sheetName val="감사ⓚA"/>
      <sheetName val="Cost Reduction"/>
      <sheetName val="Auswahl"/>
      <sheetName val=" PPAP 작성중 .xlsx"/>
      <sheetName val="1-Tables"/>
      <sheetName val="카니발슈마세피아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신고서.전"/>
      <sheetName val="일일 업무 현황 (3)"/>
      <sheetName val="일일 업무 현황 (5)"/>
      <sheetName val="동명재고"/>
      <sheetName val="문서처리전"/>
      <sheetName val="간이연락"/>
      <sheetName val="_x0000__x0000__x0000__x0000_ilencer"/>
      <sheetName val="가공비"/>
      <sheetName val="기준입력"/>
      <sheetName val="생산품목"/>
      <sheetName val="실적"/>
      <sheetName val="시험연구비상각"/>
      <sheetName val="XREF"/>
      <sheetName val="0 절삭조건"/>
      <sheetName val="1월"/>
      <sheetName val="SAM"/>
      <sheetName val="발생집계"/>
      <sheetName val="3"/>
      <sheetName val="4"/>
      <sheetName val="5"/>
      <sheetName val="6"/>
      <sheetName val="7"/>
      <sheetName val="8"/>
      <sheetName val="9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포머 비가동 내역"/>
      <sheetName val="5311"/>
      <sheetName val="점검시트"/>
      <sheetName val="2-1"/>
      <sheetName val="내역서"/>
      <sheetName val="오정용선임"/>
      <sheetName val="건재양식"/>
      <sheetName val="DATA BASE"/>
      <sheetName val="업체등록"/>
      <sheetName val="자재입고"/>
      <sheetName val="자재출고"/>
      <sheetName val="제품등록"/>
      <sheetName val="총소요량"/>
      <sheetName val="현재고"/>
      <sheetName val="상품재고(97)"/>
      <sheetName val="내구품질향상1"/>
      <sheetName val="(평균)"/>
      <sheetName val="냉연"/>
      <sheetName val="W-현원가"/>
      <sheetName val="hp_td_calc"/>
      <sheetName val="6B008"/>
      <sheetName val="MPL 技連"/>
      <sheetName val="342E BLOCK"/>
      <sheetName val="DFMEA"/>
      <sheetName val="02 07 27 부품판매가"/>
      <sheetName val="총"/>
      <sheetName val="윤영환"/>
      <sheetName val="차체부품_INS_REPORT(갑)1"/>
      <sheetName val="FUEL_FILLER1"/>
      <sheetName val="5_WIRE적용LIST1"/>
      <sheetName val="3_일반사상1"/>
      <sheetName val="_납촉자1"/>
      <sheetName val="일일_업무_현황_(3)"/>
      <sheetName val="일일_업무_현황_(5)"/>
      <sheetName val="417CPK"/>
      <sheetName val="SS"/>
      <sheetName val="FRONT HUB견적가"/>
      <sheetName val="VS1 Paretto분석"/>
      <sheetName val="intro"/>
      <sheetName val="TABLE"/>
      <sheetName val="재료비"/>
      <sheetName val="기준"/>
      <sheetName val="협력사 일반현황"/>
      <sheetName val="생산현황 (입력)"/>
      <sheetName val="작업시간"/>
      <sheetName val="1.ER유체응용"/>
      <sheetName val="4.시험장비"/>
      <sheetName val="급여대장(기능직)"/>
      <sheetName val="1-1.General Code"/>
      <sheetName val="임율 &amp; LOT"/>
      <sheetName val="DataBase"/>
      <sheetName val="판매98"/>
      <sheetName val="GSTOTAL"/>
      <sheetName val="3-2_귀책부서별_DT현황1"/>
      <sheetName val="0_절삭조건"/>
      <sheetName val="Segments"/>
      <sheetName val="생산계획 (2)"/>
      <sheetName val="Type"/>
      <sheetName val="내장"/>
      <sheetName val="CR CODE"/>
      <sheetName val="부서CODE"/>
      <sheetName val="THEME CODE"/>
      <sheetName val="DAT_목표_"/>
      <sheetName val="지침"/>
      <sheetName val="MC&amp;다변화"/>
      <sheetName val="ROYALTY"/>
      <sheetName val="매입세율"/>
      <sheetName val="공사개요"/>
      <sheetName val="작업일보"/>
      <sheetName val="SHAFT"/>
      <sheetName val="검사성적서(갑)"/>
      <sheetName val="장적산출"/>
      <sheetName val="96PLAN"/>
      <sheetName val="채권(하반기)"/>
      <sheetName val="SPT"/>
      <sheetName val="자재단가"/>
      <sheetName val="NGS4"/>
      <sheetName val="공정별"/>
      <sheetName val="SPG생산"/>
      <sheetName val="일반관리비"/>
      <sheetName val="업체별 단가현황"/>
      <sheetName val="정비손익"/>
      <sheetName val="10-1"/>
      <sheetName val="P&amp;L,Bal Sheet,Cash Forecast"/>
      <sheetName val="비교원가제출.고"/>
      <sheetName val="중점과제-경비(제안)"/>
      <sheetName val="Basic assumptions"/>
      <sheetName val="98지급계획"/>
      <sheetName val="월간인력"/>
      <sheetName val="기타코드"/>
      <sheetName val="년령분석표(02년)"/>
      <sheetName val="지역별"/>
      <sheetName val="세부내용"/>
      <sheetName val="이름표모음"/>
      <sheetName val="MTK_사후"/>
      <sheetName val="94B"/>
      <sheetName val="원본(실제)"/>
      <sheetName val="#142-1-갑"/>
      <sheetName val="1.세부비교원가(내수)"/>
      <sheetName val="1.종합비교원가(내수_일반_유럽)"/>
      <sheetName val="TM1Variables"/>
      <sheetName val="손익계산서"/>
      <sheetName val="CF"/>
      <sheetName val="V64"/>
      <sheetName val="31323-4A005(PPK)"/>
      <sheetName val="회순"/>
      <sheetName val="작업장"/>
      <sheetName val="공통"/>
      <sheetName val="Budget"/>
      <sheetName val="사유코드"/>
      <sheetName val="자체실적1Q"/>
      <sheetName val="MPS Q3 FY04"/>
      <sheetName val="MPS Q4 FY04"/>
      <sheetName val="125PIECE"/>
      <sheetName val="BTS-시범물량"/>
      <sheetName val="시설투자"/>
      <sheetName val="소계정"/>
      <sheetName val="BND"/>
      <sheetName val="SPONGE단가"/>
      <sheetName val="시산9812"/>
      <sheetName val="R&amp;R(DATA)"/>
      <sheetName val="팀별종합"/>
      <sheetName val="검사협정서"/>
      <sheetName val="2002년판매실적"/>
      <sheetName val="03 PFD-1"/>
      <sheetName val="물산(양산)"/>
      <sheetName val="정공(양산)"/>
      <sheetName val="테크(양산)"/>
      <sheetName val="계열사현황종합"/>
      <sheetName val="인사자료총집계"/>
      <sheetName val="印刷補助"/>
      <sheetName val="P&amp;L"/>
      <sheetName val="출장거리"/>
      <sheetName val="수출"/>
      <sheetName val="계획수량"/>
      <sheetName val="ENG油洩れ"/>
      <sheetName val="15-COMP"/>
      <sheetName val="측정-1"/>
      <sheetName val="6C007(A)"/>
      <sheetName val="생산소모품"/>
      <sheetName val="일일 생산및판매계획 대 실적"/>
      <sheetName val="물품관리"/>
      <sheetName val="업체관리"/>
      <sheetName val="12.Inv."/>
      <sheetName val="주요재료비"/>
      <sheetName val="97년 재료예산(안)"/>
      <sheetName val="추산서총괄"/>
      <sheetName val="1.터빈"/>
      <sheetName val="HEAD"/>
      <sheetName val="SYS검토(1A1)"/>
      <sheetName val="13-1-2"/>
      <sheetName val="_x005f_x0000__x005f_x0000__x005f_x0000__x005f_x0000_ile"/>
      <sheetName val="설계일정"/>
      <sheetName val="가2"/>
      <sheetName val="승인1팀"/>
      <sheetName val="2. Definitions"/>
      <sheetName val="대표자"/>
      <sheetName val="단가MSTR"/>
      <sheetName val="11년단가"/>
      <sheetName val="생산직"/>
      <sheetName val="1월~3월"/>
      <sheetName val="4월~6월"/>
      <sheetName val="7-9월"/>
      <sheetName val="10월~12월"/>
      <sheetName val="첨부6)CAPA분석표"/>
      <sheetName val="공평3"/>
      <sheetName val="공문"/>
      <sheetName val="총론"/>
      <sheetName val="리드14"/>
      <sheetName val="규칙"/>
      <sheetName val="상세"/>
      <sheetName val="연구인원내역"/>
      <sheetName val="주E95711"/>
      <sheetName val="상불"/>
      <sheetName val="master"/>
      <sheetName val="76210원가"/>
      <sheetName val="품명_자재코드"/>
      <sheetName val="코드 조건표"/>
      <sheetName val="코드_조건표"/>
      <sheetName val="MPL_技連"/>
      <sheetName val="342E_BLOCK"/>
      <sheetName val="송전기본"/>
      <sheetName val="협력사_일반현황"/>
      <sheetName val="금형_(2)"/>
      <sheetName val="오음명부"/>
      <sheetName val="CSC"/>
      <sheetName val="경비"/>
      <sheetName val="HMC 사전원가(원혁기준)13%"/>
      <sheetName val="1차명단"/>
      <sheetName val="2차 OIL량측정"/>
      <sheetName val="지점장"/>
      <sheetName val="총괄표"/>
      <sheetName val="LX3_0_RR1"/>
      <sheetName val="포머_비가동_내역"/>
      <sheetName val="Evaluation_objects"/>
      <sheetName val="FRONT_HUB견적가"/>
      <sheetName val="VS1_Paretto분석"/>
      <sheetName val="FLOW PROSES (A)"/>
      <sheetName val="세부견적"/>
      <sheetName val="VPP(BD-010) 이상보고"/>
      <sheetName val="인원수계산"/>
      <sheetName val="이름"/>
      <sheetName val="장비 전체리스트"/>
      <sheetName val="장비리스트"/>
      <sheetName val="재품별 단가"/>
      <sheetName val="세계수요종합OK"/>
      <sheetName val="중점과제별관리도"/>
      <sheetName val="BAFFLE HMC TABLE1"/>
      <sheetName val="Calculation"/>
      <sheetName val="production dept"/>
      <sheetName val="System"/>
      <sheetName val="6.수입검사 "/>
      <sheetName val="Hilfstabellen"/>
      <sheetName val="cost base e dati"/>
      <sheetName val="변수"/>
      <sheetName val="회사정보"/>
      <sheetName val="테이블"/>
      <sheetName val="대표경력"/>
      <sheetName val="Data Sheet"/>
      <sheetName val="INDIA-ML"/>
      <sheetName val="91"/>
      <sheetName val="전체지분도"/>
      <sheetName val="안산"/>
      <sheetName val="천안"/>
      <sheetName val="PB내역"/>
      <sheetName val="회사제시"/>
      <sheetName val="期別全体表"/>
      <sheetName val="Sensitivity"/>
      <sheetName val="Sheet13"/>
      <sheetName val="?????"/>
      <sheetName val="품의양"/>
      <sheetName val=" "/>
      <sheetName val="완성차"/>
      <sheetName val="FAB별"/>
      <sheetName val="기준계정"/>
      <sheetName val="코드"/>
      <sheetName val="komentár"/>
      <sheetName val="집중검사 리스트"/>
      <sheetName val="10.예산 및 원가 계획(02년)"/>
      <sheetName val="입고단가기준"/>
      <sheetName val="일반급여"/>
      <sheetName val="협력업체"/>
      <sheetName val="TOP_trans"/>
      <sheetName val="C_Pnl원가1"/>
      <sheetName val="DB"/>
      <sheetName val="F4"/>
      <sheetName val="예상효과"/>
      <sheetName val="실행내역서 "/>
      <sheetName val="상각율표"/>
      <sheetName val="개발 LIST"/>
      <sheetName val="프레스"/>
      <sheetName val="등록의뢰"/>
      <sheetName val="공정별CR"/>
      <sheetName val="000000"/>
      <sheetName val="WBS98"/>
      <sheetName val="관로공표지"/>
      <sheetName val="Danh sach Hàn thùng"/>
      <sheetName val="1_TM2"/>
      <sheetName val="TOT"/>
      <sheetName val="BUS"/>
      <sheetName val="LOAIXE"/>
      <sheetName val="Nguon PT xetai"/>
      <sheetName val="NGUON"/>
      <sheetName val="Nguon PT xe Ben"/>
      <sheetName val="Bien so"/>
      <sheetName val="DM KHAU HA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Danh sach"/>
      <sheetName val="THƯ VIỆN"/>
      <sheetName val="5300"/>
      <sheetName val="단기차입금(200006)"/>
      <sheetName val="영업외"/>
      <sheetName val="1.1 2008 OTIF"/>
      <sheetName val="▶사출"/>
      <sheetName val="▶R_C FRM"/>
      <sheetName val="동성세부내역"/>
      <sheetName val="차체 품안표"/>
      <sheetName val="주요재무비율"/>
      <sheetName val="PNL ASS'Y CRASH PAD UPR RH"/>
      <sheetName val="CHINO검량선"/>
      <sheetName val="재고정확2"/>
      <sheetName val="수정시산표"/>
      <sheetName val="TEMP1"/>
      <sheetName val="A1"/>
      <sheetName val="S50 "/>
      <sheetName val="여비"/>
      <sheetName val="TABLE(KR)"/>
      <sheetName val="생산실적"/>
      <sheetName val="PC%계산(WM.COMM단차)"/>
      <sheetName val="급여대장(입력용)"/>
      <sheetName val="설비LIST"/>
      <sheetName val="매출"/>
      <sheetName val="무부하 회전수"/>
      <sheetName val="END"/>
      <sheetName val="1~3월 지시사항"/>
      <sheetName val="소유주(원)"/>
      <sheetName val="인원01"/>
      <sheetName val="1.POSITIONING"/>
      <sheetName val="사양정리"/>
      <sheetName val="Value Analysis - Sheet 1"/>
      <sheetName val="84531"/>
      <sheetName val="lot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차체부품_INS_REPORT(갑)2"/>
      <sheetName val="2_대외공문2"/>
      <sheetName val="외주현황_wq12"/>
      <sheetName val="FUEL_FILLER2"/>
      <sheetName val="3_일반사상2"/>
      <sheetName val="5_WIRE적용LIST2"/>
      <sheetName val="진행_DATA_(2)2"/>
      <sheetName val="3-2_귀책부서별_DT현황2"/>
      <sheetName val="_납촉자2"/>
      <sheetName val="LX3_0_RR2"/>
      <sheetName val="SUB_2월_재검사추이도1"/>
      <sheetName val="JT3_0견적-구11"/>
      <sheetName val="c_db1"/>
      <sheetName val="B053_(990701)공정실적PP%계산1"/>
      <sheetName val="일일_업무_현황_(3)1"/>
      <sheetName val="일일_업무_현황_(5)1"/>
      <sheetName val="CR_CODE"/>
      <sheetName val="THEME_CODE"/>
      <sheetName val="0_절삭조건1"/>
      <sheetName val="1_세부비교원가(내수)"/>
      <sheetName val="J150_승인진도관리_LIST"/>
      <sheetName val="TOTAL_LIST"/>
      <sheetName val="Price_Range"/>
      <sheetName val="FTR_MACRo"/>
      <sheetName val="1_종합비교원가(내수_일반_유럽)"/>
      <sheetName val="금형_(2)1"/>
      <sheetName val="VS1_Paretto분석1"/>
      <sheetName val="임율_&amp;_LOT"/>
      <sheetName val="MPL_技連1"/>
      <sheetName val="342E_BLOCK1"/>
      <sheetName val="생산현황_(입력)"/>
      <sheetName val="포머_비가동_내역1"/>
      <sheetName val="1_ER유체응용"/>
      <sheetName val="4_시험장비"/>
      <sheetName val="협력사_일반현황1"/>
      <sheetName val="상세_계산_내역"/>
      <sheetName val="생산계획_(2)"/>
      <sheetName val="DATA_BASE"/>
      <sheetName val="Evaluation_objects1"/>
      <sheetName val="FRONT_HUB견적가1"/>
      <sheetName val="1-1_General_Code"/>
      <sheetName val="TEMP_TORQUE1"/>
      <sheetName val="1_변경범위1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내수1_8GL"/>
      <sheetName val="업체별_단가현황"/>
      <sheetName val="비교원가제출_고"/>
      <sheetName val="Basic_assumptions"/>
      <sheetName val="운임_환차손-Y1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항목"/>
      <sheetName val="부동산세금"/>
      <sheetName val="국영"/>
      <sheetName val="TEAM하반기 계획 (2)"/>
      <sheetName val="96연구소인건비"/>
      <sheetName val="KURSER"/>
      <sheetName val="업체리스트"/>
      <sheetName val="거래처관리"/>
      <sheetName val="ﾊﾟｲﾌﾟ"/>
      <sheetName val="冷延鋼板"/>
      <sheetName val="熱延鋼板"/>
      <sheetName val="他材料費"/>
      <sheetName val="印刷"/>
      <sheetName val="条件表"/>
      <sheetName val="02-2W"/>
      <sheetName val="별제권_정리담보권"/>
      <sheetName val="ﾏｽﾀ"/>
      <sheetName val="견적마법사"/>
      <sheetName val="전처리"/>
      <sheetName val="Option"/>
      <sheetName val="Upgrades pricing"/>
      <sheetName val="7.3 DY팀"/>
      <sheetName val="5-Why Root Cause Analysis "/>
      <sheetName val="#REF!"/>
      <sheetName val="조정내역"/>
      <sheetName val="주간업무(개발구매팀)"/>
      <sheetName val="Cover"/>
      <sheetName val="포트외경(A)"/>
      <sheetName val="2001Org"/>
      <sheetName val="일보"/>
      <sheetName val="BSL"/>
      <sheetName val="진행중 설변"/>
      <sheetName val="96수표어음"/>
      <sheetName val="실적관리"/>
      <sheetName val="Financials"/>
      <sheetName val="Yield"/>
      <sheetName val="산출기준(파견전산실)"/>
      <sheetName val="품목"/>
      <sheetName val="계정"/>
      <sheetName val="수입명세서"/>
      <sheetName val="계산program"/>
      <sheetName val="impianti"/>
      <sheetName val="출력-생산일보"/>
      <sheetName val="품목표"/>
      <sheetName val="Moulding data"/>
      <sheetName val="Volumes"/>
      <sheetName val="SCP 4"/>
      <sheetName val="SCP 5 D2UXT"/>
      <sheetName val="SCP 6 D2UX"/>
      <sheetName val="Invest (MAC)"/>
      <sheetName val="SCP Apr2015"/>
      <sheetName val="HOLE 9905(1)"/>
      <sheetName val="VXX"/>
      <sheetName val="."/>
      <sheetName val="공정능력(마운틴 홀 거리)"/>
      <sheetName val="양식_샘플"/>
      <sheetName val="8월3주"/>
      <sheetName val="Questionnaire"/>
      <sheetName val="2-1.제품군별계획대비실적(B.A)"/>
      <sheetName val="f3"/>
      <sheetName val="0105"/>
      <sheetName val="0505"/>
      <sheetName val="그래프"/>
      <sheetName val="공사원가계산서"/>
      <sheetName val="Summary Sheet"/>
      <sheetName val="Datasheet for KPI Model 1"/>
      <sheetName val="만년달력"/>
      <sheetName val="휴일"/>
      <sheetName val="LINE_VENT"/>
      <sheetName val="OEM 이의제기 종합"/>
      <sheetName val="신공항A-9(원가수정)"/>
      <sheetName val="감독1130"/>
      <sheetName val="RECIMAKE"/>
      <sheetName val="6월재고2"/>
      <sheetName val="광주 소요량"/>
      <sheetName val="2월"/>
      <sheetName val="조립"/>
      <sheetName val="신규"/>
      <sheetName val="_x0000__x0000__x0000__x0000_ile"/>
      <sheetName val="XMA 12월 8,000대 원,부자재_完"/>
      <sheetName val="YFA 10월분 원자재(10.12)_미납완료_完"/>
      <sheetName val="YFA 10월분 부자재(10.7,9)_FEDEX_完"/>
      <sheetName val="HD1070(T)"/>
      <sheetName val="980710"/>
      <sheetName val="9703"/>
      <sheetName val="원재료불량"/>
      <sheetName val="sapactivexlhiddensheet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(1)"/>
      <sheetName val="공정능력 (2)"/>
      <sheetName val="cpk data"/>
      <sheetName val="Tubelists"/>
      <sheetName val="표준"/>
      <sheetName val="설비사양서B-1"/>
      <sheetName val="full (2)"/>
      <sheetName val="Production Plan1"/>
      <sheetName val="ISRDATA"/>
      <sheetName val="Master Cable"/>
      <sheetName val="Supplement2"/>
      <sheetName val="DBL LPG시험"/>
      <sheetName val="목표대비실적(R)"/>
      <sheetName val="SMXEXPS"/>
      <sheetName val="금형표지"/>
      <sheetName val="INVESTMENT (Hardware)"/>
      <sheetName val="기초데이타"/>
      <sheetName val="ROLL"/>
      <sheetName val="95MAKER"/>
      <sheetName val="GAGE R&amp;R(FRT UPR)"/>
      <sheetName val="사업소별9812"/>
      <sheetName val="10년11월이월현황"/>
      <sheetName val="중공업 실적"/>
      <sheetName val="16-1531"/>
      <sheetName val=" 하반기 경비 조정계획_150627(사계 r2 기준).x"/>
      <sheetName val="치공구"/>
      <sheetName val="판가반영"/>
      <sheetName val="so-021"/>
      <sheetName val="선재"/>
      <sheetName val="????ilencer"/>
      <sheetName val="생산실적입력"/>
      <sheetName val="법인세부담액"/>
      <sheetName val="등록자료"/>
      <sheetName val="입력정보"/>
      <sheetName val="여신보고용"/>
      <sheetName val="서진단가"/>
      <sheetName val="기아계획"/>
      <sheetName val="세목별"/>
      <sheetName val="A"/>
      <sheetName val="스풀능력"/>
      <sheetName val="노무비"/>
      <sheetName val="매출이익(실적)"/>
      <sheetName val="9609추"/>
      <sheetName val="국산화"/>
      <sheetName val="0.CHMSL LED ASSY"/>
      <sheetName val="변환테이블"/>
      <sheetName val="불량 리스트"/>
      <sheetName val="불량 코드"/>
      <sheetName val="현금흐름표"/>
      <sheetName val="그림목록"/>
      <sheetName val="침탄데이타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1.세부비교_x001b__x0000__x0000_㣪洁ᚦ"/>
      <sheetName val="목차"/>
      <sheetName val="82351"/>
      <sheetName val="6_수입검사_"/>
      <sheetName val="12_Inv_"/>
      <sheetName val="97년_재료예산(안)"/>
      <sheetName val="1_터빈"/>
      <sheetName val="cost_base_e_dati"/>
      <sheetName val="_"/>
      <sheetName val="집중검사_리스트"/>
      <sheetName val="10_예산_및_원가_계획(02년)"/>
      <sheetName val="실행내역서_"/>
      <sheetName val="개발_LIST"/>
      <sheetName val="Data_Sheet"/>
      <sheetName val="BAFFLE_HMC_TABLE1"/>
      <sheetName val="Value_Analysis_-_Sheet_1"/>
      <sheetName val="PC%계산(WM_COMM단차)"/>
      <sheetName val="Cost_Reduction"/>
      <sheetName val="차체_품안표"/>
      <sheetName val="1_1_2008_OTIF"/>
      <sheetName val="1~3월_지시사항"/>
      <sheetName val="1_POSITIONING"/>
      <sheetName val="production_dept"/>
      <sheetName val="51700-C2100(이의제기)"/>
      <sheetName val="BS"/>
      <sheetName val="TB"/>
      <sheetName val="부서별3월"/>
      <sheetName val="인원"/>
      <sheetName val="HeaderInfo"/>
      <sheetName val="J100"/>
      <sheetName val="RFQ Template"/>
      <sheetName val="科目余额表"/>
      <sheetName val="정비사업장별전망"/>
      <sheetName val="부품목표"/>
      <sheetName val="부평"/>
      <sheetName val="분당"/>
      <sheetName val="평촌"/>
      <sheetName val="승인율"/>
      <sheetName val="3월말 장기악성(국내)"/>
      <sheetName val="2월말 장기악성(국내)"/>
      <sheetName val="3월"/>
      <sheetName val="Dossier_Cdc"/>
      <sheetName val="DFMEA-DRBFM"/>
      <sheetName val="95WBS"/>
      <sheetName val="재발방지대책서"/>
      <sheetName val="YOKE-H(10.3)"/>
      <sheetName val="분석"/>
      <sheetName val="TABLE DB"/>
      <sheetName val="쌍용 data base"/>
      <sheetName val="본부재고"/>
      <sheetName val="VERTICAL PIPE"/>
      <sheetName val="2쪽"/>
      <sheetName val="Sum"/>
      <sheetName val="ALL"/>
      <sheetName val="LIDE"/>
      <sheetName val="광주재료"/>
      <sheetName val="감가상각"/>
      <sheetName val="소요단량"/>
      <sheetName val="2과 공수집계"/>
      <sheetName val="2000"/>
      <sheetName val="LS"/>
      <sheetName val="첨부5"/>
      <sheetName val="5-2"/>
      <sheetName val="_____"/>
      <sheetName val="무부하_회전수"/>
      <sheetName val="진행중_설변"/>
      <sheetName val="HOLE_9905(1)"/>
      <sheetName val="Production_Plan1"/>
      <sheetName val="생산계획"/>
      <sheetName val="108.수선비"/>
      <sheetName val="8기전사사업계획"/>
      <sheetName val="36기상반기자금실적"/>
      <sheetName val="X3"/>
      <sheetName val="업체정보"/>
      <sheetName val="07DATA"/>
      <sheetName val="WJ素材費"/>
      <sheetName val="품의서양식 (3)"/>
      <sheetName val="예상투자비"/>
      <sheetName val="조선용암면"/>
      <sheetName val="매출DATA"/>
      <sheetName val="종합장"/>
      <sheetName val="集計ﾘｽﾄ"/>
      <sheetName val="원가분석"/>
      <sheetName val="법인(환율지정)"/>
      <sheetName val="_x005f_x005f_x005f_x0000__x005f_x005f_x005f_x0000__x005"/>
      <sheetName val="1. 보고"/>
      <sheetName val="수지타입(ASSY)"/>
      <sheetName val="Asset98-CAK"/>
      <sheetName val="이체비용포함2"/>
      <sheetName val="이체비용포함"/>
      <sheetName val="PNL_ASS'Y_CRASH_PAD_UPR_RH"/>
      <sheetName val="Input Page"/>
      <sheetName val="Input Sheet"/>
      <sheetName val="Aug01 Status Rpt"/>
      <sheetName val="현금및현금등가물"/>
      <sheetName val="Base Info"/>
      <sheetName val="ISSUE LIST"/>
      <sheetName val="자료"/>
      <sheetName val="Assumption"/>
      <sheetName val="직원명부"/>
      <sheetName val="ALVXXL01"/>
      <sheetName val="철심금중량"/>
      <sheetName val="PC%계산DWMC"/>
      <sheetName val="구매내역"/>
      <sheetName val="생산실적db"/>
      <sheetName val="데이터"/>
      <sheetName val="비교원RD-S"/>
      <sheetName val="철판2"/>
      <sheetName val="년도별"/>
      <sheetName val="수출가격"/>
      <sheetName val="원가계산서양식"/>
      <sheetName val="TA10"/>
      <sheetName val="미익SUB"/>
      <sheetName val="DETAILS"/>
      <sheetName val="1.세부비교_x001b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-04"/>
      <sheetName val="Báo cáo"/>
      <sheetName val="Danh sach Hàn thùng"/>
      <sheetName val="SVTT"/>
      <sheetName val="CAUDIT"/>
    </sheetNames>
    <sheetDataSet>
      <sheetData sheetId="0" refreshError="1"/>
      <sheetData sheetId="1" refreshError="1"/>
      <sheetData sheetId="2" refreshError="1">
        <row r="1">
          <cell r="H1">
            <v>0</v>
          </cell>
          <cell r="I1">
            <v>0</v>
          </cell>
        </row>
        <row r="2">
          <cell r="H2" t="str">
            <v>Điểm xe đưa đón</v>
          </cell>
          <cell r="I2">
            <v>0</v>
          </cell>
        </row>
        <row r="3">
          <cell r="H3">
            <v>0</v>
          </cell>
          <cell r="I3">
            <v>0</v>
          </cell>
        </row>
        <row r="4">
          <cell r="H4" t="str">
            <v>TK</v>
          </cell>
          <cell r="I4" t="str">
            <v>Q Ngãi</v>
          </cell>
        </row>
        <row r="5">
          <cell r="H5">
            <v>0</v>
          </cell>
          <cell r="I5">
            <v>0</v>
          </cell>
        </row>
        <row r="6">
          <cell r="H6">
            <v>0</v>
          </cell>
          <cell r="I6">
            <v>0</v>
          </cell>
        </row>
        <row r="7">
          <cell r="H7">
            <v>0</v>
          </cell>
          <cell r="I7">
            <v>0</v>
          </cell>
        </row>
        <row r="8">
          <cell r="H8">
            <v>0</v>
          </cell>
          <cell r="I8">
            <v>6</v>
          </cell>
        </row>
        <row r="9">
          <cell r="H9">
            <v>5</v>
          </cell>
          <cell r="I9">
            <v>0</v>
          </cell>
        </row>
        <row r="10">
          <cell r="H10">
            <v>0</v>
          </cell>
          <cell r="I10">
            <v>0</v>
          </cell>
        </row>
        <row r="11">
          <cell r="H11">
            <v>6</v>
          </cell>
          <cell r="I11">
            <v>0</v>
          </cell>
        </row>
        <row r="12">
          <cell r="H12">
            <v>0</v>
          </cell>
          <cell r="I12">
            <v>0</v>
          </cell>
        </row>
        <row r="13">
          <cell r="H13">
            <v>0</v>
          </cell>
          <cell r="I13">
            <v>5</v>
          </cell>
        </row>
        <row r="14">
          <cell r="H14">
            <v>5</v>
          </cell>
          <cell r="I14">
            <v>0</v>
          </cell>
        </row>
        <row r="15">
          <cell r="H15">
            <v>0</v>
          </cell>
          <cell r="I15">
            <v>0</v>
          </cell>
        </row>
        <row r="16">
          <cell r="H16">
            <v>0</v>
          </cell>
          <cell r="I16">
            <v>0</v>
          </cell>
        </row>
        <row r="17">
          <cell r="H17">
            <v>0</v>
          </cell>
          <cell r="I17">
            <v>0</v>
          </cell>
        </row>
        <row r="18">
          <cell r="H18">
            <v>0</v>
          </cell>
          <cell r="I18">
            <v>0</v>
          </cell>
        </row>
        <row r="19">
          <cell r="H19">
            <v>3</v>
          </cell>
          <cell r="I19">
            <v>0</v>
          </cell>
        </row>
        <row r="20">
          <cell r="H20">
            <v>0</v>
          </cell>
          <cell r="I20">
            <v>5</v>
          </cell>
        </row>
        <row r="21">
          <cell r="H21">
            <v>0</v>
          </cell>
          <cell r="I21">
            <v>0</v>
          </cell>
        </row>
        <row r="22">
          <cell r="H22">
            <v>0</v>
          </cell>
          <cell r="I22">
            <v>0</v>
          </cell>
        </row>
        <row r="23">
          <cell r="H23">
            <v>7</v>
          </cell>
          <cell r="I23">
            <v>0</v>
          </cell>
        </row>
        <row r="24">
          <cell r="H24">
            <v>10</v>
          </cell>
          <cell r="I24">
            <v>0</v>
          </cell>
        </row>
        <row r="25">
          <cell r="H25">
            <v>0</v>
          </cell>
          <cell r="I25">
            <v>0</v>
          </cell>
        </row>
        <row r="26">
          <cell r="H26">
            <v>0</v>
          </cell>
          <cell r="I26">
            <v>5</v>
          </cell>
        </row>
        <row r="27">
          <cell r="H27">
            <v>0</v>
          </cell>
          <cell r="I27">
            <v>0</v>
          </cell>
        </row>
        <row r="28">
          <cell r="H28">
            <v>0</v>
          </cell>
          <cell r="I28">
            <v>0</v>
          </cell>
        </row>
        <row r="29">
          <cell r="H29">
            <v>0</v>
          </cell>
          <cell r="I29">
            <v>0</v>
          </cell>
        </row>
        <row r="30">
          <cell r="H30">
            <v>0</v>
          </cell>
          <cell r="I30">
            <v>0</v>
          </cell>
        </row>
        <row r="31">
          <cell r="H31">
            <v>0</v>
          </cell>
          <cell r="I31">
            <v>0</v>
          </cell>
        </row>
        <row r="32">
          <cell r="H32">
            <v>0</v>
          </cell>
          <cell r="I32">
            <v>0</v>
          </cell>
        </row>
        <row r="33">
          <cell r="H33">
            <v>0</v>
          </cell>
          <cell r="I33">
            <v>0</v>
          </cell>
        </row>
        <row r="34">
          <cell r="H34">
            <v>8</v>
          </cell>
          <cell r="I34">
            <v>0</v>
          </cell>
        </row>
        <row r="35">
          <cell r="H35">
            <v>0</v>
          </cell>
          <cell r="I35">
            <v>0</v>
          </cell>
        </row>
        <row r="36">
          <cell r="H36">
            <v>0</v>
          </cell>
          <cell r="I36">
            <v>0</v>
          </cell>
        </row>
        <row r="37">
          <cell r="H37">
            <v>0</v>
          </cell>
          <cell r="I37">
            <v>0</v>
          </cell>
        </row>
        <row r="38">
          <cell r="H38">
            <v>0</v>
          </cell>
          <cell r="I38">
            <v>1</v>
          </cell>
        </row>
        <row r="39">
          <cell r="H39">
            <v>6</v>
          </cell>
          <cell r="I39">
            <v>0</v>
          </cell>
        </row>
        <row r="40">
          <cell r="H40">
            <v>3</v>
          </cell>
          <cell r="I40">
            <v>0</v>
          </cell>
        </row>
        <row r="41">
          <cell r="H41">
            <v>16</v>
          </cell>
          <cell r="I41">
            <v>0</v>
          </cell>
        </row>
        <row r="42">
          <cell r="H42">
            <v>0</v>
          </cell>
          <cell r="I42">
            <v>0</v>
          </cell>
        </row>
        <row r="43">
          <cell r="H43">
            <v>0</v>
          </cell>
          <cell r="I43">
            <v>0</v>
          </cell>
        </row>
        <row r="44">
          <cell r="H44">
            <v>15</v>
          </cell>
          <cell r="I44">
            <v>0</v>
          </cell>
        </row>
        <row r="45">
          <cell r="H45">
            <v>0</v>
          </cell>
          <cell r="I45">
            <v>0</v>
          </cell>
        </row>
        <row r="46">
          <cell r="H46">
            <v>0</v>
          </cell>
          <cell r="I46">
            <v>0</v>
          </cell>
        </row>
        <row r="47">
          <cell r="H47">
            <v>0</v>
          </cell>
          <cell r="I47">
            <v>0</v>
          </cell>
        </row>
        <row r="48">
          <cell r="H48">
            <v>0</v>
          </cell>
          <cell r="I48">
            <v>0</v>
          </cell>
        </row>
        <row r="49">
          <cell r="H49">
            <v>5</v>
          </cell>
          <cell r="I49">
            <v>0</v>
          </cell>
        </row>
        <row r="50">
          <cell r="H50">
            <v>0</v>
          </cell>
          <cell r="I50">
            <v>0</v>
          </cell>
        </row>
        <row r="51">
          <cell r="H51">
            <v>0</v>
          </cell>
          <cell r="I51">
            <v>0</v>
          </cell>
        </row>
        <row r="52">
          <cell r="H52">
            <v>0</v>
          </cell>
          <cell r="I52">
            <v>0</v>
          </cell>
        </row>
        <row r="53">
          <cell r="H53">
            <v>1</v>
          </cell>
          <cell r="I53">
            <v>0</v>
          </cell>
        </row>
        <row r="54">
          <cell r="H54">
            <v>0</v>
          </cell>
          <cell r="I54">
            <v>0</v>
          </cell>
        </row>
        <row r="55">
          <cell r="H55">
            <v>2</v>
          </cell>
          <cell r="I55">
            <v>0</v>
          </cell>
        </row>
        <row r="56">
          <cell r="H56">
            <v>0</v>
          </cell>
          <cell r="I56">
            <v>0</v>
          </cell>
        </row>
        <row r="57">
          <cell r="H57">
            <v>0</v>
          </cell>
          <cell r="I57">
            <v>0</v>
          </cell>
        </row>
        <row r="58">
          <cell r="H58">
            <v>0</v>
          </cell>
          <cell r="I58">
            <v>0</v>
          </cell>
        </row>
        <row r="59">
          <cell r="H59">
            <v>0</v>
          </cell>
          <cell r="I59">
            <v>0</v>
          </cell>
        </row>
        <row r="60">
          <cell r="H60">
            <v>0</v>
          </cell>
          <cell r="I60">
            <v>0</v>
          </cell>
        </row>
        <row r="61">
          <cell r="H61">
            <v>0</v>
          </cell>
          <cell r="I61">
            <v>0</v>
          </cell>
        </row>
        <row r="62">
          <cell r="H62">
            <v>4</v>
          </cell>
          <cell r="I62">
            <v>0</v>
          </cell>
        </row>
        <row r="63">
          <cell r="H63">
            <v>0</v>
          </cell>
          <cell r="I63">
            <v>0</v>
          </cell>
        </row>
        <row r="64">
          <cell r="H64">
            <v>10</v>
          </cell>
          <cell r="I64">
            <v>0</v>
          </cell>
        </row>
        <row r="65">
          <cell r="H65">
            <v>2</v>
          </cell>
          <cell r="I65">
            <v>0</v>
          </cell>
        </row>
        <row r="66">
          <cell r="H66">
            <v>5</v>
          </cell>
          <cell r="I66">
            <v>0</v>
          </cell>
        </row>
        <row r="67">
          <cell r="H67">
            <v>0</v>
          </cell>
          <cell r="I67">
            <v>6</v>
          </cell>
        </row>
        <row r="68">
          <cell r="H68">
            <v>0</v>
          </cell>
          <cell r="I68">
            <v>0</v>
          </cell>
        </row>
        <row r="69">
          <cell r="H69">
            <v>9</v>
          </cell>
          <cell r="I69">
            <v>0</v>
          </cell>
        </row>
        <row r="70">
          <cell r="H70">
            <v>0</v>
          </cell>
          <cell r="I70">
            <v>0</v>
          </cell>
        </row>
        <row r="71">
          <cell r="H71">
            <v>0</v>
          </cell>
          <cell r="I71">
            <v>0</v>
          </cell>
        </row>
        <row r="72">
          <cell r="H72">
            <v>14</v>
          </cell>
          <cell r="I72">
            <v>0</v>
          </cell>
        </row>
        <row r="73">
          <cell r="H73">
            <v>0</v>
          </cell>
          <cell r="I73">
            <v>0</v>
          </cell>
        </row>
        <row r="74">
          <cell r="H74">
            <v>16</v>
          </cell>
          <cell r="I74">
            <v>0</v>
          </cell>
        </row>
        <row r="75">
          <cell r="H75">
            <v>0</v>
          </cell>
          <cell r="I75">
            <v>0</v>
          </cell>
        </row>
        <row r="76">
          <cell r="H76">
            <v>8</v>
          </cell>
          <cell r="I76">
            <v>0</v>
          </cell>
        </row>
        <row r="77">
          <cell r="H77">
            <v>0</v>
          </cell>
          <cell r="I77">
            <v>0</v>
          </cell>
        </row>
        <row r="78">
          <cell r="H78">
            <v>0</v>
          </cell>
          <cell r="I78">
            <v>0</v>
          </cell>
        </row>
        <row r="79">
          <cell r="H79">
            <v>0</v>
          </cell>
          <cell r="I79">
            <v>0</v>
          </cell>
        </row>
        <row r="80">
          <cell r="H80">
            <v>0</v>
          </cell>
          <cell r="I80">
            <v>0</v>
          </cell>
        </row>
        <row r="81">
          <cell r="H81">
            <v>0</v>
          </cell>
          <cell r="I81">
            <v>0</v>
          </cell>
        </row>
        <row r="82">
          <cell r="H82">
            <v>10</v>
          </cell>
          <cell r="I82">
            <v>0</v>
          </cell>
        </row>
        <row r="83">
          <cell r="H83">
            <v>16</v>
          </cell>
          <cell r="I83">
            <v>0</v>
          </cell>
        </row>
        <row r="84">
          <cell r="H84">
            <v>2</v>
          </cell>
          <cell r="I84">
            <v>0</v>
          </cell>
        </row>
        <row r="85">
          <cell r="H85">
            <v>0</v>
          </cell>
          <cell r="I85">
            <v>0</v>
          </cell>
        </row>
        <row r="86">
          <cell r="H86">
            <v>0</v>
          </cell>
          <cell r="I86">
            <v>0</v>
          </cell>
        </row>
        <row r="87">
          <cell r="H87">
            <v>0</v>
          </cell>
          <cell r="I87">
            <v>7</v>
          </cell>
        </row>
        <row r="88">
          <cell r="H88">
            <v>0</v>
          </cell>
          <cell r="I88">
            <v>0</v>
          </cell>
        </row>
        <row r="89">
          <cell r="H89">
            <v>0</v>
          </cell>
          <cell r="I89">
            <v>0</v>
          </cell>
        </row>
        <row r="90">
          <cell r="H90">
            <v>0</v>
          </cell>
          <cell r="I90">
            <v>0</v>
          </cell>
        </row>
        <row r="91">
          <cell r="H91">
            <v>0</v>
          </cell>
          <cell r="I91">
            <v>0</v>
          </cell>
        </row>
        <row r="92">
          <cell r="H92">
            <v>0</v>
          </cell>
          <cell r="I92">
            <v>0</v>
          </cell>
        </row>
        <row r="93">
          <cell r="H93">
            <v>0</v>
          </cell>
          <cell r="I93">
            <v>1</v>
          </cell>
        </row>
        <row r="94">
          <cell r="H94">
            <v>0</v>
          </cell>
          <cell r="I94">
            <v>1</v>
          </cell>
        </row>
        <row r="95">
          <cell r="H95">
            <v>0</v>
          </cell>
          <cell r="I95">
            <v>0</v>
          </cell>
        </row>
        <row r="96">
          <cell r="H96">
            <v>0</v>
          </cell>
          <cell r="I96">
            <v>0</v>
          </cell>
        </row>
        <row r="97">
          <cell r="H97">
            <v>0</v>
          </cell>
          <cell r="I97">
            <v>0</v>
          </cell>
        </row>
        <row r="98">
          <cell r="H98">
            <v>0</v>
          </cell>
          <cell r="I98">
            <v>0</v>
          </cell>
        </row>
        <row r="99">
          <cell r="H99">
            <v>0</v>
          </cell>
          <cell r="I99">
            <v>0</v>
          </cell>
        </row>
        <row r="100">
          <cell r="H100">
            <v>0</v>
          </cell>
          <cell r="I100">
            <v>2</v>
          </cell>
        </row>
        <row r="101">
          <cell r="H101">
            <v>0</v>
          </cell>
          <cell r="I101">
            <v>0</v>
          </cell>
        </row>
        <row r="102">
          <cell r="H102">
            <v>17</v>
          </cell>
          <cell r="I102">
            <v>0</v>
          </cell>
        </row>
        <row r="103">
          <cell r="H103">
            <v>0</v>
          </cell>
          <cell r="I103">
            <v>0</v>
          </cell>
        </row>
        <row r="104">
          <cell r="H104">
            <v>0</v>
          </cell>
          <cell r="I104">
            <v>0</v>
          </cell>
        </row>
        <row r="105">
          <cell r="H105">
            <v>0</v>
          </cell>
          <cell r="I105">
            <v>0</v>
          </cell>
        </row>
        <row r="106">
          <cell r="H106">
            <v>0</v>
          </cell>
          <cell r="I106">
            <v>0</v>
          </cell>
        </row>
        <row r="107">
          <cell r="H107">
            <v>14</v>
          </cell>
          <cell r="I107">
            <v>0</v>
          </cell>
        </row>
        <row r="108">
          <cell r="H108">
            <v>0</v>
          </cell>
          <cell r="I108">
            <v>0</v>
          </cell>
        </row>
        <row r="109">
          <cell r="H109">
            <v>0</v>
          </cell>
          <cell r="I109">
            <v>0</v>
          </cell>
        </row>
        <row r="110">
          <cell r="H110">
            <v>0</v>
          </cell>
          <cell r="I110">
            <v>0</v>
          </cell>
        </row>
        <row r="111">
          <cell r="H111">
            <v>14</v>
          </cell>
          <cell r="I111">
            <v>0</v>
          </cell>
        </row>
        <row r="112">
          <cell r="H112">
            <v>0</v>
          </cell>
          <cell r="I112">
            <v>0</v>
          </cell>
        </row>
        <row r="113">
          <cell r="H113">
            <v>0</v>
          </cell>
          <cell r="I113">
            <v>0</v>
          </cell>
        </row>
        <row r="114">
          <cell r="H114">
            <v>0</v>
          </cell>
          <cell r="I114">
            <v>2</v>
          </cell>
        </row>
        <row r="115">
          <cell r="H115">
            <v>0</v>
          </cell>
          <cell r="I115">
            <v>0</v>
          </cell>
        </row>
        <row r="116">
          <cell r="H116">
            <v>0</v>
          </cell>
          <cell r="I116">
            <v>0</v>
          </cell>
        </row>
        <row r="117">
          <cell r="H117">
            <v>0</v>
          </cell>
          <cell r="I117">
            <v>0</v>
          </cell>
        </row>
        <row r="118">
          <cell r="H118">
            <v>0</v>
          </cell>
          <cell r="I118">
            <v>7</v>
          </cell>
        </row>
        <row r="119">
          <cell r="H119">
            <v>0</v>
          </cell>
          <cell r="I119">
            <v>0</v>
          </cell>
        </row>
        <row r="120">
          <cell r="H120">
            <v>0</v>
          </cell>
          <cell r="I120">
            <v>0</v>
          </cell>
        </row>
        <row r="121">
          <cell r="H121">
            <v>0</v>
          </cell>
          <cell r="I121">
            <v>0</v>
          </cell>
        </row>
        <row r="122">
          <cell r="H122">
            <v>0</v>
          </cell>
          <cell r="I122">
            <v>0</v>
          </cell>
        </row>
        <row r="123">
          <cell r="H123">
            <v>7</v>
          </cell>
          <cell r="I123">
            <v>0</v>
          </cell>
        </row>
        <row r="124">
          <cell r="H124">
            <v>0</v>
          </cell>
          <cell r="I124">
            <v>0</v>
          </cell>
        </row>
        <row r="125">
          <cell r="H125">
            <v>0</v>
          </cell>
          <cell r="I125">
            <v>0</v>
          </cell>
        </row>
        <row r="126">
          <cell r="H126">
            <v>0</v>
          </cell>
          <cell r="I126">
            <v>7</v>
          </cell>
        </row>
        <row r="127">
          <cell r="H127">
            <v>0</v>
          </cell>
          <cell r="I127">
            <v>0</v>
          </cell>
        </row>
        <row r="128">
          <cell r="H128">
            <v>0</v>
          </cell>
          <cell r="I128">
            <v>0</v>
          </cell>
        </row>
        <row r="129">
          <cell r="H129">
            <v>0</v>
          </cell>
          <cell r="I129">
            <v>0</v>
          </cell>
        </row>
        <row r="130">
          <cell r="H130">
            <v>0</v>
          </cell>
          <cell r="I130">
            <v>0</v>
          </cell>
        </row>
        <row r="131">
          <cell r="H131">
            <v>14</v>
          </cell>
          <cell r="I131">
            <v>0</v>
          </cell>
        </row>
        <row r="132">
          <cell r="H132">
            <v>4</v>
          </cell>
          <cell r="I132">
            <v>0</v>
          </cell>
        </row>
        <row r="133">
          <cell r="H133">
            <v>0</v>
          </cell>
          <cell r="I133">
            <v>0</v>
          </cell>
        </row>
        <row r="134">
          <cell r="H134">
            <v>0</v>
          </cell>
          <cell r="I134">
            <v>0</v>
          </cell>
        </row>
        <row r="135">
          <cell r="H135">
            <v>0</v>
          </cell>
          <cell r="I135">
            <v>6</v>
          </cell>
        </row>
        <row r="136">
          <cell r="H136">
            <v>0</v>
          </cell>
          <cell r="I136">
            <v>6</v>
          </cell>
        </row>
        <row r="137">
          <cell r="H137">
            <v>4</v>
          </cell>
          <cell r="I137">
            <v>0</v>
          </cell>
        </row>
        <row r="138">
          <cell r="H138">
            <v>0</v>
          </cell>
          <cell r="I138">
            <v>0</v>
          </cell>
        </row>
        <row r="139">
          <cell r="H139">
            <v>5</v>
          </cell>
          <cell r="I139">
            <v>0</v>
          </cell>
        </row>
        <row r="140">
          <cell r="H140">
            <v>0</v>
          </cell>
          <cell r="I140">
            <v>0</v>
          </cell>
        </row>
        <row r="141">
          <cell r="H141">
            <v>9</v>
          </cell>
          <cell r="I141">
            <v>0</v>
          </cell>
        </row>
        <row r="142">
          <cell r="H142">
            <v>0</v>
          </cell>
          <cell r="I142">
            <v>0</v>
          </cell>
        </row>
        <row r="143">
          <cell r="H143">
            <v>4</v>
          </cell>
          <cell r="I143">
            <v>0</v>
          </cell>
        </row>
        <row r="144">
          <cell r="H144">
            <v>0</v>
          </cell>
          <cell r="I144">
            <v>0</v>
          </cell>
        </row>
        <row r="145">
          <cell r="H145">
            <v>0</v>
          </cell>
          <cell r="I145">
            <v>0</v>
          </cell>
        </row>
        <row r="146">
          <cell r="H146">
            <v>0</v>
          </cell>
          <cell r="I146">
            <v>0</v>
          </cell>
        </row>
        <row r="147">
          <cell r="H147">
            <v>0</v>
          </cell>
          <cell r="I147">
            <v>0</v>
          </cell>
        </row>
        <row r="148">
          <cell r="H148">
            <v>0</v>
          </cell>
          <cell r="I148">
            <v>0</v>
          </cell>
        </row>
        <row r="149">
          <cell r="H149">
            <v>15</v>
          </cell>
          <cell r="I149">
            <v>0</v>
          </cell>
        </row>
        <row r="150">
          <cell r="H150">
            <v>9</v>
          </cell>
          <cell r="I150">
            <v>0</v>
          </cell>
        </row>
        <row r="151">
          <cell r="H151">
            <v>0</v>
          </cell>
          <cell r="I151">
            <v>0</v>
          </cell>
        </row>
        <row r="152">
          <cell r="H152">
            <v>0</v>
          </cell>
          <cell r="I152">
            <v>0</v>
          </cell>
        </row>
        <row r="153">
          <cell r="H153">
            <v>0</v>
          </cell>
          <cell r="I153">
            <v>0</v>
          </cell>
        </row>
        <row r="154">
          <cell r="H154">
            <v>0</v>
          </cell>
          <cell r="I154">
            <v>2</v>
          </cell>
        </row>
        <row r="155">
          <cell r="H155">
            <v>0</v>
          </cell>
          <cell r="I155">
            <v>0</v>
          </cell>
        </row>
        <row r="156">
          <cell r="H156">
            <v>0</v>
          </cell>
          <cell r="I156">
            <v>0</v>
          </cell>
        </row>
        <row r="157">
          <cell r="H157">
            <v>0</v>
          </cell>
          <cell r="I157">
            <v>6</v>
          </cell>
        </row>
        <row r="158">
          <cell r="H158">
            <v>0</v>
          </cell>
          <cell r="I158">
            <v>0</v>
          </cell>
        </row>
        <row r="159">
          <cell r="H159">
            <v>0</v>
          </cell>
          <cell r="I159">
            <v>0</v>
          </cell>
        </row>
        <row r="160">
          <cell r="H160">
            <v>0</v>
          </cell>
          <cell r="I160">
            <v>0</v>
          </cell>
        </row>
        <row r="161">
          <cell r="H161">
            <v>0</v>
          </cell>
          <cell r="I161">
            <v>0</v>
          </cell>
        </row>
        <row r="162">
          <cell r="H162">
            <v>0</v>
          </cell>
          <cell r="I162">
            <v>1</v>
          </cell>
        </row>
        <row r="163">
          <cell r="H163">
            <v>0</v>
          </cell>
          <cell r="I163">
            <v>2</v>
          </cell>
        </row>
        <row r="164">
          <cell r="H164">
            <v>0</v>
          </cell>
          <cell r="I164">
            <v>0</v>
          </cell>
        </row>
        <row r="165">
          <cell r="H165">
            <v>0</v>
          </cell>
          <cell r="I165">
            <v>0</v>
          </cell>
        </row>
        <row r="166">
          <cell r="H166">
            <v>0</v>
          </cell>
          <cell r="I166">
            <v>0</v>
          </cell>
        </row>
        <row r="167">
          <cell r="H167">
            <v>0</v>
          </cell>
          <cell r="I167">
            <v>1</v>
          </cell>
        </row>
        <row r="168">
          <cell r="H168">
            <v>0</v>
          </cell>
          <cell r="I168">
            <v>3</v>
          </cell>
        </row>
        <row r="169">
          <cell r="H169">
            <v>0</v>
          </cell>
          <cell r="I169">
            <v>0</v>
          </cell>
        </row>
        <row r="170">
          <cell r="H170">
            <v>0</v>
          </cell>
          <cell r="I170">
            <v>0</v>
          </cell>
        </row>
        <row r="171">
          <cell r="H171">
            <v>0</v>
          </cell>
          <cell r="I171">
            <v>0</v>
          </cell>
        </row>
        <row r="172">
          <cell r="H172">
            <v>0</v>
          </cell>
          <cell r="I172">
            <v>0</v>
          </cell>
        </row>
        <row r="173">
          <cell r="H173">
            <v>5</v>
          </cell>
          <cell r="I173">
            <v>0</v>
          </cell>
        </row>
        <row r="174">
          <cell r="H174">
            <v>0</v>
          </cell>
          <cell r="I174">
            <v>0</v>
          </cell>
        </row>
        <row r="175">
          <cell r="H175">
            <v>0</v>
          </cell>
          <cell r="I175">
            <v>0</v>
          </cell>
        </row>
        <row r="176">
          <cell r="H176">
            <v>0</v>
          </cell>
          <cell r="I176">
            <v>0</v>
          </cell>
        </row>
        <row r="177">
          <cell r="H177">
            <v>13</v>
          </cell>
          <cell r="I177">
            <v>0</v>
          </cell>
        </row>
        <row r="178">
          <cell r="H178">
            <v>0</v>
          </cell>
          <cell r="I178">
            <v>0</v>
          </cell>
        </row>
        <row r="179">
          <cell r="H179">
            <v>0</v>
          </cell>
          <cell r="I179">
            <v>0</v>
          </cell>
        </row>
        <row r="180">
          <cell r="H180">
            <v>0</v>
          </cell>
          <cell r="I180">
            <v>3</v>
          </cell>
        </row>
        <row r="181">
          <cell r="H181">
            <v>0</v>
          </cell>
          <cell r="I181">
            <v>0</v>
          </cell>
        </row>
        <row r="182">
          <cell r="H182">
            <v>0</v>
          </cell>
          <cell r="I182">
            <v>0</v>
          </cell>
        </row>
        <row r="183">
          <cell r="H183">
            <v>0</v>
          </cell>
          <cell r="I183">
            <v>0</v>
          </cell>
        </row>
        <row r="184">
          <cell r="H184">
            <v>14</v>
          </cell>
          <cell r="I184">
            <v>0</v>
          </cell>
        </row>
        <row r="185">
          <cell r="H185">
            <v>8</v>
          </cell>
          <cell r="I185">
            <v>0</v>
          </cell>
        </row>
        <row r="186">
          <cell r="H186">
            <v>15</v>
          </cell>
          <cell r="I186">
            <v>0</v>
          </cell>
        </row>
        <row r="187">
          <cell r="H187">
            <v>0</v>
          </cell>
          <cell r="I187">
            <v>0</v>
          </cell>
        </row>
        <row r="188">
          <cell r="H188">
            <v>9</v>
          </cell>
          <cell r="I188">
            <v>0</v>
          </cell>
        </row>
        <row r="189">
          <cell r="H189">
            <v>4</v>
          </cell>
          <cell r="I189">
            <v>0</v>
          </cell>
        </row>
        <row r="190">
          <cell r="H190">
            <v>14</v>
          </cell>
          <cell r="I190">
            <v>0</v>
          </cell>
        </row>
        <row r="191">
          <cell r="H191">
            <v>15</v>
          </cell>
          <cell r="I191">
            <v>0</v>
          </cell>
        </row>
        <row r="192">
          <cell r="H192">
            <v>0</v>
          </cell>
          <cell r="I192">
            <v>2</v>
          </cell>
        </row>
        <row r="193">
          <cell r="H193">
            <v>0</v>
          </cell>
          <cell r="I193">
            <v>7</v>
          </cell>
        </row>
        <row r="194">
          <cell r="H194">
            <v>15</v>
          </cell>
          <cell r="I194">
            <v>0</v>
          </cell>
        </row>
        <row r="195">
          <cell r="H195">
            <v>0</v>
          </cell>
          <cell r="I195">
            <v>3</v>
          </cell>
        </row>
        <row r="196">
          <cell r="H196">
            <v>0</v>
          </cell>
          <cell r="I196">
            <v>2</v>
          </cell>
        </row>
        <row r="197">
          <cell r="H197">
            <v>0</v>
          </cell>
          <cell r="I197">
            <v>1</v>
          </cell>
        </row>
        <row r="198">
          <cell r="H198">
            <v>15</v>
          </cell>
          <cell r="I198">
            <v>0</v>
          </cell>
        </row>
        <row r="199">
          <cell r="H199">
            <v>0</v>
          </cell>
          <cell r="I199">
            <v>0</v>
          </cell>
        </row>
        <row r="200">
          <cell r="H200">
            <v>15</v>
          </cell>
          <cell r="I200">
            <v>0</v>
          </cell>
        </row>
        <row r="201">
          <cell r="H201">
            <v>0</v>
          </cell>
          <cell r="I201">
            <v>5</v>
          </cell>
        </row>
        <row r="202">
          <cell r="H202">
            <v>0</v>
          </cell>
          <cell r="I202">
            <v>1</v>
          </cell>
        </row>
        <row r="203">
          <cell r="H203">
            <v>0</v>
          </cell>
          <cell r="I203">
            <v>0</v>
          </cell>
        </row>
        <row r="204">
          <cell r="H204">
            <v>8</v>
          </cell>
          <cell r="I204">
            <v>0</v>
          </cell>
        </row>
        <row r="205">
          <cell r="H205">
            <v>0</v>
          </cell>
          <cell r="I205">
            <v>0</v>
          </cell>
        </row>
        <row r="206">
          <cell r="H206">
            <v>0</v>
          </cell>
          <cell r="I206">
            <v>0</v>
          </cell>
        </row>
        <row r="207">
          <cell r="H207">
            <v>8</v>
          </cell>
          <cell r="I207">
            <v>0</v>
          </cell>
        </row>
        <row r="208">
          <cell r="H208">
            <v>8</v>
          </cell>
          <cell r="I208">
            <v>0</v>
          </cell>
        </row>
        <row r="209">
          <cell r="H209">
            <v>0</v>
          </cell>
          <cell r="I209">
            <v>4</v>
          </cell>
        </row>
        <row r="210">
          <cell r="H210">
            <v>5</v>
          </cell>
          <cell r="I210">
            <v>0</v>
          </cell>
        </row>
        <row r="211">
          <cell r="H211">
            <v>0</v>
          </cell>
          <cell r="I211">
            <v>7</v>
          </cell>
        </row>
        <row r="212">
          <cell r="H212">
            <v>0</v>
          </cell>
          <cell r="I212">
            <v>0</v>
          </cell>
        </row>
        <row r="213">
          <cell r="H213">
            <v>0</v>
          </cell>
          <cell r="I213">
            <v>0</v>
          </cell>
        </row>
        <row r="214">
          <cell r="H214">
            <v>0</v>
          </cell>
          <cell r="I214">
            <v>0</v>
          </cell>
        </row>
        <row r="215">
          <cell r="H215">
            <v>0</v>
          </cell>
          <cell r="I215">
            <v>0</v>
          </cell>
        </row>
        <row r="216">
          <cell r="H216">
            <v>9</v>
          </cell>
          <cell r="I216">
            <v>0</v>
          </cell>
        </row>
        <row r="217">
          <cell r="H217">
            <v>0</v>
          </cell>
          <cell r="I217">
            <v>0</v>
          </cell>
        </row>
        <row r="218">
          <cell r="H218">
            <v>0</v>
          </cell>
          <cell r="I218">
            <v>0</v>
          </cell>
        </row>
        <row r="219">
          <cell r="H219">
            <v>0</v>
          </cell>
          <cell r="I219">
            <v>5</v>
          </cell>
        </row>
        <row r="220">
          <cell r="H220">
            <v>0</v>
          </cell>
          <cell r="I220">
            <v>0</v>
          </cell>
        </row>
        <row r="221">
          <cell r="H221">
            <v>0</v>
          </cell>
          <cell r="I221">
            <v>7</v>
          </cell>
        </row>
        <row r="222">
          <cell r="H222">
            <v>0</v>
          </cell>
          <cell r="I222">
            <v>0</v>
          </cell>
        </row>
        <row r="223">
          <cell r="H223">
            <v>11</v>
          </cell>
          <cell r="I223">
            <v>0</v>
          </cell>
        </row>
        <row r="224">
          <cell r="H224">
            <v>0</v>
          </cell>
          <cell r="I224">
            <v>0</v>
          </cell>
        </row>
        <row r="225">
          <cell r="H225">
            <v>0</v>
          </cell>
          <cell r="I225">
            <v>0</v>
          </cell>
        </row>
        <row r="226">
          <cell r="H226">
            <v>0</v>
          </cell>
          <cell r="I226">
            <v>3</v>
          </cell>
        </row>
        <row r="227">
          <cell r="H227">
            <v>17</v>
          </cell>
          <cell r="I227">
            <v>0</v>
          </cell>
        </row>
        <row r="228">
          <cell r="H228">
            <v>11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7</v>
          </cell>
        </row>
        <row r="231">
          <cell r="H231">
            <v>9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7</v>
          </cell>
        </row>
        <row r="234">
          <cell r="H234">
            <v>1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4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2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  <cell r="I244">
            <v>0</v>
          </cell>
        </row>
        <row r="245">
          <cell r="H245">
            <v>0</v>
          </cell>
          <cell r="I245">
            <v>0</v>
          </cell>
        </row>
        <row r="246">
          <cell r="H246">
            <v>0</v>
          </cell>
          <cell r="I246">
            <v>2</v>
          </cell>
        </row>
        <row r="247">
          <cell r="H247">
            <v>0</v>
          </cell>
          <cell r="I247">
            <v>2</v>
          </cell>
        </row>
        <row r="248">
          <cell r="H248">
            <v>6</v>
          </cell>
          <cell r="I248">
            <v>0</v>
          </cell>
        </row>
        <row r="249">
          <cell r="H249">
            <v>0</v>
          </cell>
          <cell r="I249">
            <v>0</v>
          </cell>
        </row>
        <row r="250">
          <cell r="H250">
            <v>8</v>
          </cell>
          <cell r="I250">
            <v>0</v>
          </cell>
        </row>
        <row r="251">
          <cell r="H251">
            <v>0</v>
          </cell>
          <cell r="I251">
            <v>2</v>
          </cell>
        </row>
        <row r="252">
          <cell r="H252">
            <v>0</v>
          </cell>
          <cell r="I252">
            <v>2</v>
          </cell>
        </row>
        <row r="253">
          <cell r="H253">
            <v>8</v>
          </cell>
          <cell r="I253">
            <v>0</v>
          </cell>
        </row>
        <row r="254">
          <cell r="H254">
            <v>8</v>
          </cell>
          <cell r="I254">
            <v>0</v>
          </cell>
        </row>
        <row r="255">
          <cell r="H255">
            <v>0</v>
          </cell>
          <cell r="I255">
            <v>0</v>
          </cell>
        </row>
        <row r="256">
          <cell r="H256">
            <v>14</v>
          </cell>
          <cell r="I256">
            <v>0</v>
          </cell>
        </row>
        <row r="257">
          <cell r="H257">
            <v>0</v>
          </cell>
          <cell r="I257">
            <v>3</v>
          </cell>
        </row>
        <row r="258">
          <cell r="H258">
            <v>0</v>
          </cell>
          <cell r="I258">
            <v>0</v>
          </cell>
        </row>
        <row r="259">
          <cell r="H259">
            <v>0</v>
          </cell>
          <cell r="I259">
            <v>0</v>
          </cell>
        </row>
        <row r="260">
          <cell r="H260">
            <v>13</v>
          </cell>
          <cell r="I260">
            <v>0</v>
          </cell>
        </row>
        <row r="261">
          <cell r="H261">
            <v>0</v>
          </cell>
          <cell r="I261">
            <v>0</v>
          </cell>
        </row>
        <row r="262">
          <cell r="H262">
            <v>14</v>
          </cell>
          <cell r="I262">
            <v>0</v>
          </cell>
        </row>
        <row r="263">
          <cell r="H263">
            <v>15</v>
          </cell>
          <cell r="I263">
            <v>0</v>
          </cell>
        </row>
        <row r="264">
          <cell r="H264">
            <v>2</v>
          </cell>
          <cell r="I264">
            <v>0</v>
          </cell>
        </row>
        <row r="265">
          <cell r="H265">
            <v>0</v>
          </cell>
          <cell r="I265">
            <v>0</v>
          </cell>
        </row>
        <row r="266">
          <cell r="H266">
            <v>0</v>
          </cell>
          <cell r="I266">
            <v>0</v>
          </cell>
        </row>
        <row r="267">
          <cell r="H267">
            <v>0</v>
          </cell>
          <cell r="I267">
            <v>0</v>
          </cell>
        </row>
        <row r="268">
          <cell r="H268">
            <v>0</v>
          </cell>
          <cell r="I268">
            <v>0</v>
          </cell>
        </row>
        <row r="269">
          <cell r="H269">
            <v>0</v>
          </cell>
          <cell r="I269">
            <v>0</v>
          </cell>
        </row>
        <row r="270">
          <cell r="H270">
            <v>0</v>
          </cell>
          <cell r="I270">
            <v>0</v>
          </cell>
        </row>
        <row r="271">
          <cell r="H271">
            <v>0</v>
          </cell>
          <cell r="I271">
            <v>0</v>
          </cell>
        </row>
        <row r="272">
          <cell r="H272">
            <v>0</v>
          </cell>
          <cell r="I272">
            <v>0</v>
          </cell>
        </row>
        <row r="273">
          <cell r="H273">
            <v>0</v>
          </cell>
          <cell r="I273">
            <v>0</v>
          </cell>
        </row>
        <row r="274">
          <cell r="H274">
            <v>0</v>
          </cell>
          <cell r="I274">
            <v>0</v>
          </cell>
        </row>
        <row r="275">
          <cell r="H275">
            <v>8</v>
          </cell>
          <cell r="I275">
            <v>0</v>
          </cell>
        </row>
        <row r="276">
          <cell r="H276">
            <v>0</v>
          </cell>
          <cell r="I276">
            <v>0</v>
          </cell>
        </row>
        <row r="277">
          <cell r="H277">
            <v>13</v>
          </cell>
          <cell r="I277">
            <v>0</v>
          </cell>
        </row>
        <row r="278">
          <cell r="H278">
            <v>17</v>
          </cell>
          <cell r="I278">
            <v>0</v>
          </cell>
        </row>
        <row r="279">
          <cell r="H279">
            <v>0</v>
          </cell>
          <cell r="I279">
            <v>0</v>
          </cell>
        </row>
        <row r="280">
          <cell r="H280">
            <v>0</v>
          </cell>
          <cell r="I280">
            <v>0</v>
          </cell>
        </row>
        <row r="281">
          <cell r="H281">
            <v>8</v>
          </cell>
          <cell r="I281">
            <v>0</v>
          </cell>
        </row>
        <row r="282">
          <cell r="H282">
            <v>0</v>
          </cell>
          <cell r="I282">
            <v>0</v>
          </cell>
        </row>
        <row r="283">
          <cell r="H283">
            <v>0</v>
          </cell>
          <cell r="I283">
            <v>0</v>
          </cell>
        </row>
        <row r="284">
          <cell r="H284">
            <v>3</v>
          </cell>
          <cell r="I284">
            <v>0</v>
          </cell>
        </row>
        <row r="285">
          <cell r="H285">
            <v>0</v>
          </cell>
          <cell r="I285">
            <v>0</v>
          </cell>
        </row>
        <row r="286">
          <cell r="H286">
            <v>0</v>
          </cell>
          <cell r="I286">
            <v>0</v>
          </cell>
        </row>
        <row r="287">
          <cell r="H287">
            <v>0</v>
          </cell>
          <cell r="I287">
            <v>0</v>
          </cell>
        </row>
        <row r="288">
          <cell r="H288">
            <v>14</v>
          </cell>
          <cell r="I288">
            <v>0</v>
          </cell>
        </row>
        <row r="289">
          <cell r="H289">
            <v>2</v>
          </cell>
          <cell r="I289">
            <v>0</v>
          </cell>
        </row>
        <row r="290">
          <cell r="H290">
            <v>2</v>
          </cell>
          <cell r="I290">
            <v>0</v>
          </cell>
        </row>
        <row r="291">
          <cell r="H291">
            <v>0</v>
          </cell>
          <cell r="I291">
            <v>1</v>
          </cell>
        </row>
        <row r="292">
          <cell r="H292">
            <v>9</v>
          </cell>
          <cell r="I292">
            <v>0</v>
          </cell>
        </row>
        <row r="293">
          <cell r="H293">
            <v>0</v>
          </cell>
          <cell r="I293">
            <v>0</v>
          </cell>
        </row>
        <row r="294">
          <cell r="H294">
            <v>0</v>
          </cell>
          <cell r="I294">
            <v>0</v>
          </cell>
        </row>
        <row r="295">
          <cell r="H295">
            <v>0</v>
          </cell>
          <cell r="I295">
            <v>0</v>
          </cell>
        </row>
        <row r="296">
          <cell r="H296">
            <v>0</v>
          </cell>
          <cell r="I296">
            <v>0</v>
          </cell>
        </row>
        <row r="297">
          <cell r="H297">
            <v>0</v>
          </cell>
          <cell r="I297">
            <v>0</v>
          </cell>
        </row>
        <row r="298">
          <cell r="H298">
            <v>9</v>
          </cell>
          <cell r="I298">
            <v>0</v>
          </cell>
        </row>
        <row r="299">
          <cell r="H299">
            <v>0</v>
          </cell>
          <cell r="I299">
            <v>0</v>
          </cell>
        </row>
        <row r="300">
          <cell r="H300">
            <v>17</v>
          </cell>
          <cell r="I300">
            <v>0</v>
          </cell>
        </row>
        <row r="301">
          <cell r="H301">
            <v>0</v>
          </cell>
          <cell r="I301">
            <v>0</v>
          </cell>
        </row>
        <row r="302">
          <cell r="H302">
            <v>0</v>
          </cell>
          <cell r="I302">
            <v>0</v>
          </cell>
        </row>
        <row r="303">
          <cell r="H303">
            <v>0</v>
          </cell>
          <cell r="I303">
            <v>0</v>
          </cell>
        </row>
        <row r="304">
          <cell r="H304">
            <v>5</v>
          </cell>
          <cell r="I304">
            <v>0</v>
          </cell>
        </row>
        <row r="305">
          <cell r="H305">
            <v>0</v>
          </cell>
          <cell r="I305">
            <v>0</v>
          </cell>
        </row>
        <row r="306">
          <cell r="H306">
            <v>14</v>
          </cell>
          <cell r="I306">
            <v>0</v>
          </cell>
        </row>
        <row r="307">
          <cell r="H307">
            <v>0</v>
          </cell>
          <cell r="I307">
            <v>0</v>
          </cell>
        </row>
        <row r="308">
          <cell r="H308">
            <v>0</v>
          </cell>
          <cell r="I308">
            <v>0</v>
          </cell>
        </row>
        <row r="309">
          <cell r="H309">
            <v>0</v>
          </cell>
          <cell r="I309">
            <v>0</v>
          </cell>
        </row>
        <row r="310">
          <cell r="H310">
            <v>16</v>
          </cell>
          <cell r="I310">
            <v>0</v>
          </cell>
        </row>
        <row r="311">
          <cell r="H311">
            <v>14</v>
          </cell>
          <cell r="I311">
            <v>0</v>
          </cell>
        </row>
        <row r="312">
          <cell r="H312">
            <v>0</v>
          </cell>
          <cell r="I312">
            <v>0</v>
          </cell>
        </row>
        <row r="313">
          <cell r="H313">
            <v>0</v>
          </cell>
          <cell r="I313">
            <v>0</v>
          </cell>
        </row>
        <row r="314">
          <cell r="H314">
            <v>0</v>
          </cell>
          <cell r="I314">
            <v>0</v>
          </cell>
        </row>
        <row r="315">
          <cell r="H315">
            <v>0</v>
          </cell>
          <cell r="I315">
            <v>0</v>
          </cell>
        </row>
        <row r="316">
          <cell r="H316">
            <v>2</v>
          </cell>
          <cell r="I316">
            <v>0</v>
          </cell>
        </row>
        <row r="317">
          <cell r="H317">
            <v>0</v>
          </cell>
          <cell r="I317">
            <v>0</v>
          </cell>
        </row>
        <row r="318">
          <cell r="H318">
            <v>0</v>
          </cell>
          <cell r="I318">
            <v>0</v>
          </cell>
        </row>
        <row r="319">
          <cell r="H319">
            <v>0</v>
          </cell>
          <cell r="I319">
            <v>0</v>
          </cell>
        </row>
        <row r="320">
          <cell r="H320">
            <v>17</v>
          </cell>
          <cell r="I320">
            <v>0</v>
          </cell>
        </row>
        <row r="321">
          <cell r="H321">
            <v>0</v>
          </cell>
          <cell r="I321">
            <v>0</v>
          </cell>
        </row>
        <row r="322">
          <cell r="H322">
            <v>0</v>
          </cell>
          <cell r="I322">
            <v>0</v>
          </cell>
        </row>
        <row r="323">
          <cell r="H323">
            <v>8</v>
          </cell>
          <cell r="I323">
            <v>0</v>
          </cell>
        </row>
        <row r="324">
          <cell r="H324">
            <v>17</v>
          </cell>
          <cell r="I324">
            <v>0</v>
          </cell>
        </row>
        <row r="325">
          <cell r="H325">
            <v>0</v>
          </cell>
          <cell r="I325">
            <v>2</v>
          </cell>
        </row>
        <row r="326">
          <cell r="H326">
            <v>17</v>
          </cell>
          <cell r="I326">
            <v>0</v>
          </cell>
        </row>
        <row r="327">
          <cell r="H327">
            <v>6</v>
          </cell>
          <cell r="I327">
            <v>0</v>
          </cell>
        </row>
        <row r="328">
          <cell r="H328">
            <v>0</v>
          </cell>
          <cell r="I328">
            <v>0</v>
          </cell>
        </row>
        <row r="329">
          <cell r="H329">
            <v>17</v>
          </cell>
          <cell r="I329">
            <v>0</v>
          </cell>
        </row>
        <row r="330">
          <cell r="H330">
            <v>0</v>
          </cell>
          <cell r="I330">
            <v>0</v>
          </cell>
        </row>
        <row r="331">
          <cell r="H331">
            <v>0</v>
          </cell>
          <cell r="I331">
            <v>0</v>
          </cell>
        </row>
        <row r="332">
          <cell r="H332">
            <v>0</v>
          </cell>
          <cell r="I332">
            <v>7</v>
          </cell>
        </row>
        <row r="333">
          <cell r="H333">
            <v>0</v>
          </cell>
          <cell r="I333">
            <v>0</v>
          </cell>
        </row>
        <row r="334">
          <cell r="H334">
            <v>13</v>
          </cell>
          <cell r="I334">
            <v>0</v>
          </cell>
        </row>
        <row r="335">
          <cell r="H335">
            <v>0</v>
          </cell>
          <cell r="I335">
            <v>0</v>
          </cell>
        </row>
        <row r="336">
          <cell r="H336">
            <v>3</v>
          </cell>
          <cell r="I336">
            <v>0</v>
          </cell>
        </row>
        <row r="337">
          <cell r="H337">
            <v>0</v>
          </cell>
          <cell r="I337">
            <v>0</v>
          </cell>
        </row>
        <row r="338">
          <cell r="H338">
            <v>14</v>
          </cell>
          <cell r="I338">
            <v>0</v>
          </cell>
        </row>
        <row r="339">
          <cell r="H339">
            <v>0</v>
          </cell>
          <cell r="I339">
            <v>6</v>
          </cell>
        </row>
        <row r="340">
          <cell r="H340">
            <v>1</v>
          </cell>
          <cell r="I340">
            <v>0</v>
          </cell>
        </row>
        <row r="341">
          <cell r="H341">
            <v>2</v>
          </cell>
          <cell r="I341">
            <v>0</v>
          </cell>
        </row>
        <row r="342">
          <cell r="H342">
            <v>0</v>
          </cell>
          <cell r="I342">
            <v>0</v>
          </cell>
        </row>
        <row r="343">
          <cell r="H343">
            <v>0</v>
          </cell>
          <cell r="I343">
            <v>0</v>
          </cell>
        </row>
        <row r="344">
          <cell r="H344">
            <v>0</v>
          </cell>
          <cell r="I344">
            <v>0</v>
          </cell>
        </row>
        <row r="345">
          <cell r="H345">
            <v>0</v>
          </cell>
          <cell r="I345">
            <v>0</v>
          </cell>
        </row>
        <row r="346">
          <cell r="H346">
            <v>9</v>
          </cell>
          <cell r="I346">
            <v>0</v>
          </cell>
        </row>
        <row r="347">
          <cell r="H347">
            <v>13</v>
          </cell>
          <cell r="I347">
            <v>0</v>
          </cell>
        </row>
        <row r="348">
          <cell r="H348">
            <v>0</v>
          </cell>
          <cell r="I348">
            <v>0</v>
          </cell>
        </row>
        <row r="349">
          <cell r="H349">
            <v>0</v>
          </cell>
          <cell r="I349">
            <v>0</v>
          </cell>
        </row>
        <row r="350">
          <cell r="H350">
            <v>0</v>
          </cell>
          <cell r="I350">
            <v>0</v>
          </cell>
        </row>
        <row r="351">
          <cell r="H351">
            <v>0</v>
          </cell>
          <cell r="I351">
            <v>0</v>
          </cell>
        </row>
        <row r="352">
          <cell r="H352">
            <v>7</v>
          </cell>
          <cell r="I352">
            <v>0</v>
          </cell>
        </row>
        <row r="353">
          <cell r="H353">
            <v>0</v>
          </cell>
          <cell r="I353">
            <v>0</v>
          </cell>
        </row>
        <row r="354">
          <cell r="H354">
            <v>0</v>
          </cell>
          <cell r="I354">
            <v>2</v>
          </cell>
        </row>
        <row r="355">
          <cell r="H355">
            <v>0</v>
          </cell>
          <cell r="I355">
            <v>2</v>
          </cell>
        </row>
        <row r="356">
          <cell r="H356">
            <v>17</v>
          </cell>
          <cell r="I356">
            <v>0</v>
          </cell>
        </row>
        <row r="357">
          <cell r="H357">
            <v>3</v>
          </cell>
          <cell r="I357">
            <v>0</v>
          </cell>
        </row>
        <row r="358">
          <cell r="H358">
            <v>9</v>
          </cell>
          <cell r="I358">
            <v>0</v>
          </cell>
        </row>
        <row r="359">
          <cell r="H359">
            <v>17</v>
          </cell>
          <cell r="I359">
            <v>0</v>
          </cell>
        </row>
        <row r="360">
          <cell r="H360">
            <v>0</v>
          </cell>
          <cell r="I360">
            <v>0</v>
          </cell>
        </row>
        <row r="361">
          <cell r="H361">
            <v>2</v>
          </cell>
          <cell r="I361">
            <v>0</v>
          </cell>
        </row>
        <row r="362">
          <cell r="H362">
            <v>8</v>
          </cell>
          <cell r="I362">
            <v>0</v>
          </cell>
        </row>
        <row r="363">
          <cell r="H363">
            <v>0</v>
          </cell>
          <cell r="I363">
            <v>7</v>
          </cell>
        </row>
        <row r="364">
          <cell r="H364">
            <v>0</v>
          </cell>
          <cell r="I364">
            <v>1</v>
          </cell>
        </row>
        <row r="365">
          <cell r="H365">
            <v>8</v>
          </cell>
          <cell r="I365">
            <v>0</v>
          </cell>
        </row>
        <row r="366">
          <cell r="H366">
            <v>0</v>
          </cell>
          <cell r="I366">
            <v>7</v>
          </cell>
        </row>
        <row r="367">
          <cell r="H367">
            <v>0</v>
          </cell>
          <cell r="I367">
            <v>0</v>
          </cell>
        </row>
        <row r="368">
          <cell r="H368">
            <v>0</v>
          </cell>
          <cell r="I368">
            <v>0</v>
          </cell>
        </row>
        <row r="369">
          <cell r="H369">
            <v>0</v>
          </cell>
          <cell r="I369">
            <v>0</v>
          </cell>
        </row>
        <row r="370">
          <cell r="H370">
            <v>0</v>
          </cell>
          <cell r="I370">
            <v>0</v>
          </cell>
        </row>
        <row r="371">
          <cell r="H371">
            <v>0</v>
          </cell>
          <cell r="I371">
            <v>0</v>
          </cell>
        </row>
        <row r="372">
          <cell r="H372">
            <v>17</v>
          </cell>
          <cell r="I372">
            <v>0</v>
          </cell>
        </row>
        <row r="373">
          <cell r="H373">
            <v>0</v>
          </cell>
          <cell r="I373">
            <v>0</v>
          </cell>
        </row>
        <row r="374">
          <cell r="H374">
            <v>0</v>
          </cell>
          <cell r="I374">
            <v>3</v>
          </cell>
        </row>
        <row r="375">
          <cell r="H375">
            <v>0</v>
          </cell>
          <cell r="I375">
            <v>0</v>
          </cell>
        </row>
        <row r="376">
          <cell r="H376">
            <v>0</v>
          </cell>
          <cell r="I376">
            <v>0</v>
          </cell>
        </row>
        <row r="377">
          <cell r="H377">
            <v>0</v>
          </cell>
          <cell r="I377">
            <v>4</v>
          </cell>
        </row>
        <row r="378">
          <cell r="H378">
            <v>0</v>
          </cell>
          <cell r="I378">
            <v>0</v>
          </cell>
        </row>
        <row r="379">
          <cell r="H379">
            <v>0</v>
          </cell>
          <cell r="I379">
            <v>0</v>
          </cell>
        </row>
        <row r="380">
          <cell r="H380">
            <v>17</v>
          </cell>
          <cell r="I380">
            <v>0</v>
          </cell>
        </row>
        <row r="381">
          <cell r="H381">
            <v>0</v>
          </cell>
          <cell r="I381">
            <v>0</v>
          </cell>
        </row>
        <row r="382">
          <cell r="H382">
            <v>0</v>
          </cell>
          <cell r="I382">
            <v>0</v>
          </cell>
        </row>
        <row r="383">
          <cell r="H383">
            <v>0</v>
          </cell>
          <cell r="I383">
            <v>0</v>
          </cell>
        </row>
        <row r="384">
          <cell r="H384">
            <v>3</v>
          </cell>
          <cell r="I384">
            <v>0</v>
          </cell>
        </row>
        <row r="385">
          <cell r="H385">
            <v>0</v>
          </cell>
          <cell r="I385">
            <v>0</v>
          </cell>
        </row>
        <row r="386">
          <cell r="H386">
            <v>0</v>
          </cell>
          <cell r="I386">
            <v>0</v>
          </cell>
        </row>
        <row r="387">
          <cell r="H387">
            <v>0</v>
          </cell>
          <cell r="I387">
            <v>2</v>
          </cell>
        </row>
        <row r="388">
          <cell r="H388">
            <v>5</v>
          </cell>
          <cell r="I388">
            <v>0</v>
          </cell>
        </row>
        <row r="389">
          <cell r="H389">
            <v>0</v>
          </cell>
          <cell r="I389">
            <v>0</v>
          </cell>
        </row>
        <row r="390">
          <cell r="H390">
            <v>0</v>
          </cell>
          <cell r="I390">
            <v>0</v>
          </cell>
        </row>
        <row r="391">
          <cell r="H391">
            <v>0</v>
          </cell>
          <cell r="I391">
            <v>0</v>
          </cell>
        </row>
        <row r="392">
          <cell r="H392">
            <v>0</v>
          </cell>
          <cell r="I392">
            <v>0</v>
          </cell>
        </row>
        <row r="393">
          <cell r="H393">
            <v>15</v>
          </cell>
          <cell r="I393">
            <v>0</v>
          </cell>
        </row>
        <row r="394">
          <cell r="H394">
            <v>0</v>
          </cell>
          <cell r="I394">
            <v>0</v>
          </cell>
        </row>
        <row r="395">
          <cell r="H395">
            <v>15</v>
          </cell>
          <cell r="I395">
            <v>0</v>
          </cell>
        </row>
        <row r="396">
          <cell r="H396">
            <v>15</v>
          </cell>
          <cell r="I396">
            <v>0</v>
          </cell>
        </row>
        <row r="397">
          <cell r="H397">
            <v>8</v>
          </cell>
          <cell r="I397">
            <v>0</v>
          </cell>
        </row>
        <row r="398">
          <cell r="H398">
            <v>0</v>
          </cell>
          <cell r="I398">
            <v>7</v>
          </cell>
        </row>
        <row r="399">
          <cell r="H399">
            <v>0</v>
          </cell>
          <cell r="I399">
            <v>0</v>
          </cell>
        </row>
        <row r="400">
          <cell r="H400">
            <v>0</v>
          </cell>
          <cell r="I400">
            <v>4</v>
          </cell>
        </row>
        <row r="401">
          <cell r="H401">
            <v>0</v>
          </cell>
          <cell r="I401">
            <v>0</v>
          </cell>
        </row>
        <row r="402">
          <cell r="H402">
            <v>0</v>
          </cell>
          <cell r="I402">
            <v>7</v>
          </cell>
        </row>
        <row r="403">
          <cell r="H403">
            <v>0</v>
          </cell>
          <cell r="I403">
            <v>0</v>
          </cell>
        </row>
        <row r="404">
          <cell r="H404">
            <v>8</v>
          </cell>
          <cell r="I404">
            <v>0</v>
          </cell>
        </row>
        <row r="405">
          <cell r="H405">
            <v>0</v>
          </cell>
          <cell r="I405">
            <v>0</v>
          </cell>
        </row>
        <row r="406">
          <cell r="H406">
            <v>0</v>
          </cell>
          <cell r="I406">
            <v>0</v>
          </cell>
        </row>
        <row r="407">
          <cell r="H407">
            <v>0</v>
          </cell>
          <cell r="I407">
            <v>0</v>
          </cell>
        </row>
        <row r="408">
          <cell r="H408">
            <v>0</v>
          </cell>
          <cell r="I408">
            <v>0</v>
          </cell>
        </row>
        <row r="409">
          <cell r="H409">
            <v>0</v>
          </cell>
          <cell r="I409">
            <v>6</v>
          </cell>
        </row>
        <row r="410">
          <cell r="H410">
            <v>12</v>
          </cell>
          <cell r="I410">
            <v>0</v>
          </cell>
        </row>
        <row r="411">
          <cell r="H411">
            <v>8</v>
          </cell>
          <cell r="I411">
            <v>0</v>
          </cell>
        </row>
        <row r="412">
          <cell r="H412">
            <v>8</v>
          </cell>
          <cell r="I412">
            <v>0</v>
          </cell>
        </row>
        <row r="413">
          <cell r="H413">
            <v>0</v>
          </cell>
          <cell r="I413">
            <v>0</v>
          </cell>
        </row>
        <row r="414">
          <cell r="H414">
            <v>2</v>
          </cell>
          <cell r="I414">
            <v>0</v>
          </cell>
        </row>
        <row r="415">
          <cell r="H415">
            <v>0</v>
          </cell>
          <cell r="I415">
            <v>0</v>
          </cell>
        </row>
        <row r="416">
          <cell r="H416">
            <v>0</v>
          </cell>
          <cell r="I416">
            <v>6</v>
          </cell>
        </row>
        <row r="417">
          <cell r="H417">
            <v>0</v>
          </cell>
          <cell r="I417">
            <v>6</v>
          </cell>
        </row>
        <row r="418">
          <cell r="H418">
            <v>16</v>
          </cell>
          <cell r="I418">
            <v>0</v>
          </cell>
        </row>
        <row r="419">
          <cell r="H419">
            <v>9</v>
          </cell>
          <cell r="I419">
            <v>0</v>
          </cell>
        </row>
        <row r="420">
          <cell r="H420">
            <v>6</v>
          </cell>
          <cell r="I420">
            <v>0</v>
          </cell>
        </row>
        <row r="421">
          <cell r="H421">
            <v>0</v>
          </cell>
          <cell r="I421">
            <v>0</v>
          </cell>
        </row>
        <row r="422">
          <cell r="H422">
            <v>0</v>
          </cell>
          <cell r="I422">
            <v>0</v>
          </cell>
        </row>
        <row r="423">
          <cell r="H423">
            <v>0</v>
          </cell>
          <cell r="I423">
            <v>0</v>
          </cell>
        </row>
        <row r="424">
          <cell r="H424">
            <v>8</v>
          </cell>
          <cell r="I424">
            <v>0</v>
          </cell>
        </row>
        <row r="425">
          <cell r="H425">
            <v>0</v>
          </cell>
          <cell r="I425">
            <v>0</v>
          </cell>
        </row>
        <row r="426">
          <cell r="H426">
            <v>6</v>
          </cell>
          <cell r="I426">
            <v>0</v>
          </cell>
        </row>
        <row r="427">
          <cell r="H427">
            <v>0</v>
          </cell>
          <cell r="I427">
            <v>0</v>
          </cell>
        </row>
        <row r="428">
          <cell r="H428">
            <v>0</v>
          </cell>
          <cell r="I428">
            <v>0</v>
          </cell>
        </row>
        <row r="429">
          <cell r="H429">
            <v>8</v>
          </cell>
          <cell r="I429">
            <v>0</v>
          </cell>
        </row>
        <row r="430">
          <cell r="H430">
            <v>14</v>
          </cell>
          <cell r="I430">
            <v>0</v>
          </cell>
        </row>
        <row r="431">
          <cell r="H431">
            <v>0</v>
          </cell>
          <cell r="I431">
            <v>0</v>
          </cell>
        </row>
        <row r="432">
          <cell r="H432">
            <v>0</v>
          </cell>
          <cell r="I432">
            <v>0</v>
          </cell>
        </row>
        <row r="433">
          <cell r="H433">
            <v>0</v>
          </cell>
          <cell r="I433">
            <v>7</v>
          </cell>
        </row>
        <row r="434">
          <cell r="H434">
            <v>0</v>
          </cell>
          <cell r="I434">
            <v>4</v>
          </cell>
        </row>
        <row r="435">
          <cell r="H435">
            <v>0</v>
          </cell>
          <cell r="I435">
            <v>7</v>
          </cell>
        </row>
        <row r="436">
          <cell r="H436">
            <v>17</v>
          </cell>
          <cell r="I436">
            <v>0</v>
          </cell>
        </row>
        <row r="437">
          <cell r="H437">
            <v>17</v>
          </cell>
          <cell r="I437">
            <v>0</v>
          </cell>
        </row>
        <row r="438">
          <cell r="H438">
            <v>0</v>
          </cell>
          <cell r="I438">
            <v>0</v>
          </cell>
        </row>
        <row r="439">
          <cell r="H439">
            <v>0</v>
          </cell>
          <cell r="I439">
            <v>5</v>
          </cell>
        </row>
        <row r="440">
          <cell r="H440">
            <v>0</v>
          </cell>
          <cell r="I440">
            <v>0</v>
          </cell>
        </row>
        <row r="441">
          <cell r="H441">
            <v>14</v>
          </cell>
          <cell r="I441">
            <v>0</v>
          </cell>
        </row>
        <row r="442">
          <cell r="H442">
            <v>4</v>
          </cell>
          <cell r="I442">
            <v>0</v>
          </cell>
        </row>
        <row r="443">
          <cell r="H443">
            <v>14</v>
          </cell>
          <cell r="I443">
            <v>0</v>
          </cell>
        </row>
        <row r="444">
          <cell r="H444">
            <v>8</v>
          </cell>
          <cell r="I444">
            <v>0</v>
          </cell>
        </row>
        <row r="445">
          <cell r="H445">
            <v>0</v>
          </cell>
          <cell r="I445">
            <v>5</v>
          </cell>
        </row>
        <row r="446">
          <cell r="H446">
            <v>0</v>
          </cell>
          <cell r="I446">
            <v>4</v>
          </cell>
        </row>
        <row r="447">
          <cell r="H447">
            <v>9</v>
          </cell>
          <cell r="I447">
            <v>0</v>
          </cell>
        </row>
        <row r="448">
          <cell r="H448">
            <v>0</v>
          </cell>
          <cell r="I448">
            <v>0</v>
          </cell>
        </row>
        <row r="449">
          <cell r="H449">
            <v>0</v>
          </cell>
          <cell r="I449">
            <v>0</v>
          </cell>
        </row>
        <row r="450">
          <cell r="H450">
            <v>2</v>
          </cell>
          <cell r="I450">
            <v>0</v>
          </cell>
        </row>
        <row r="451">
          <cell r="H451">
            <v>15</v>
          </cell>
          <cell r="I451">
            <v>0</v>
          </cell>
        </row>
        <row r="452">
          <cell r="H452">
            <v>0</v>
          </cell>
          <cell r="I452">
            <v>0</v>
          </cell>
        </row>
        <row r="453">
          <cell r="H453">
            <v>0</v>
          </cell>
          <cell r="I453">
            <v>0</v>
          </cell>
        </row>
        <row r="454">
          <cell r="H454">
            <v>2</v>
          </cell>
          <cell r="I454">
            <v>0</v>
          </cell>
        </row>
        <row r="455">
          <cell r="H455">
            <v>0</v>
          </cell>
          <cell r="I455">
            <v>0</v>
          </cell>
        </row>
        <row r="456">
          <cell r="H456">
            <v>17</v>
          </cell>
          <cell r="I456">
            <v>0</v>
          </cell>
        </row>
        <row r="457">
          <cell r="H457">
            <v>9</v>
          </cell>
          <cell r="I457">
            <v>0</v>
          </cell>
        </row>
        <row r="458">
          <cell r="H458">
            <v>0</v>
          </cell>
          <cell r="I458">
            <v>3</v>
          </cell>
        </row>
        <row r="459">
          <cell r="H459">
            <v>0</v>
          </cell>
          <cell r="I459">
            <v>0</v>
          </cell>
        </row>
        <row r="460">
          <cell r="H460">
            <v>0</v>
          </cell>
          <cell r="I460">
            <v>0</v>
          </cell>
        </row>
        <row r="461">
          <cell r="H461">
            <v>0</v>
          </cell>
          <cell r="I461">
            <v>0</v>
          </cell>
        </row>
        <row r="462">
          <cell r="H462">
            <v>8</v>
          </cell>
          <cell r="I462">
            <v>0</v>
          </cell>
        </row>
        <row r="463">
          <cell r="H463">
            <v>0</v>
          </cell>
          <cell r="I463">
            <v>2</v>
          </cell>
        </row>
        <row r="464">
          <cell r="H464">
            <v>0</v>
          </cell>
          <cell r="I464">
            <v>5</v>
          </cell>
        </row>
        <row r="465">
          <cell r="H465">
            <v>0</v>
          </cell>
          <cell r="I465">
            <v>0</v>
          </cell>
        </row>
        <row r="466">
          <cell r="H466">
            <v>0</v>
          </cell>
          <cell r="I466">
            <v>0</v>
          </cell>
        </row>
        <row r="467">
          <cell r="H467">
            <v>8</v>
          </cell>
          <cell r="I467">
            <v>0</v>
          </cell>
        </row>
        <row r="468">
          <cell r="H468">
            <v>0</v>
          </cell>
          <cell r="I468">
            <v>0</v>
          </cell>
        </row>
        <row r="469">
          <cell r="H469">
            <v>17</v>
          </cell>
          <cell r="I469">
            <v>0</v>
          </cell>
        </row>
        <row r="470">
          <cell r="H470">
            <v>0</v>
          </cell>
          <cell r="I470">
            <v>0</v>
          </cell>
        </row>
        <row r="471">
          <cell r="H471">
            <v>0</v>
          </cell>
          <cell r="I471">
            <v>0</v>
          </cell>
        </row>
        <row r="472">
          <cell r="H472">
            <v>0</v>
          </cell>
          <cell r="I472">
            <v>0</v>
          </cell>
        </row>
        <row r="473">
          <cell r="H473">
            <v>0</v>
          </cell>
          <cell r="I473">
            <v>0</v>
          </cell>
        </row>
        <row r="474">
          <cell r="H474">
            <v>0</v>
          </cell>
          <cell r="I474">
            <v>0</v>
          </cell>
        </row>
        <row r="475">
          <cell r="H475">
            <v>0</v>
          </cell>
          <cell r="I475">
            <v>0</v>
          </cell>
        </row>
        <row r="476">
          <cell r="H476">
            <v>0</v>
          </cell>
          <cell r="I476">
            <v>0</v>
          </cell>
        </row>
        <row r="477">
          <cell r="H477">
            <v>0</v>
          </cell>
          <cell r="I477">
            <v>0</v>
          </cell>
        </row>
        <row r="478">
          <cell r="H478">
            <v>0</v>
          </cell>
          <cell r="I478">
            <v>0</v>
          </cell>
        </row>
        <row r="479">
          <cell r="H479">
            <v>2</v>
          </cell>
          <cell r="I479">
            <v>0</v>
          </cell>
        </row>
        <row r="480">
          <cell r="H480">
            <v>15</v>
          </cell>
          <cell r="I480">
            <v>0</v>
          </cell>
        </row>
        <row r="481">
          <cell r="H481">
            <v>0</v>
          </cell>
          <cell r="I481">
            <v>3</v>
          </cell>
        </row>
        <row r="482">
          <cell r="H482">
            <v>0</v>
          </cell>
          <cell r="I482">
            <v>0</v>
          </cell>
        </row>
        <row r="483">
          <cell r="H483">
            <v>0</v>
          </cell>
          <cell r="I483">
            <v>0</v>
          </cell>
        </row>
        <row r="484">
          <cell r="H484">
            <v>0</v>
          </cell>
          <cell r="I484">
            <v>0</v>
          </cell>
        </row>
        <row r="485">
          <cell r="H485">
            <v>15</v>
          </cell>
          <cell r="I485">
            <v>0</v>
          </cell>
        </row>
        <row r="486">
          <cell r="H486">
            <v>0</v>
          </cell>
          <cell r="I486">
            <v>0</v>
          </cell>
        </row>
        <row r="487">
          <cell r="H487">
            <v>0</v>
          </cell>
          <cell r="I487">
            <v>0</v>
          </cell>
        </row>
        <row r="488">
          <cell r="H488">
            <v>0</v>
          </cell>
          <cell r="I488">
            <v>0</v>
          </cell>
        </row>
        <row r="489">
          <cell r="H489">
            <v>0</v>
          </cell>
          <cell r="I489">
            <v>0</v>
          </cell>
        </row>
        <row r="490">
          <cell r="H490">
            <v>0</v>
          </cell>
          <cell r="I490">
            <v>0</v>
          </cell>
        </row>
        <row r="491">
          <cell r="H491">
            <v>0</v>
          </cell>
          <cell r="I491">
            <v>0</v>
          </cell>
        </row>
        <row r="492">
          <cell r="H492">
            <v>0</v>
          </cell>
          <cell r="I492">
            <v>0</v>
          </cell>
        </row>
        <row r="493">
          <cell r="H493">
            <v>0</v>
          </cell>
          <cell r="I493">
            <v>0</v>
          </cell>
        </row>
        <row r="494">
          <cell r="H494">
            <v>15</v>
          </cell>
          <cell r="I494">
            <v>0</v>
          </cell>
        </row>
        <row r="495">
          <cell r="H495">
            <v>0</v>
          </cell>
          <cell r="I495">
            <v>0</v>
          </cell>
        </row>
        <row r="496">
          <cell r="H496">
            <v>0</v>
          </cell>
          <cell r="I496">
            <v>5</v>
          </cell>
        </row>
        <row r="497">
          <cell r="H497">
            <v>0</v>
          </cell>
          <cell r="I497">
            <v>0</v>
          </cell>
        </row>
        <row r="498">
          <cell r="H498">
            <v>0</v>
          </cell>
          <cell r="I498">
            <v>0</v>
          </cell>
        </row>
        <row r="499">
          <cell r="H499">
            <v>16</v>
          </cell>
          <cell r="I499">
            <v>0</v>
          </cell>
        </row>
        <row r="500">
          <cell r="H500">
            <v>13</v>
          </cell>
          <cell r="I500">
            <v>0</v>
          </cell>
        </row>
        <row r="501">
          <cell r="H501">
            <v>16</v>
          </cell>
          <cell r="I501">
            <v>0</v>
          </cell>
        </row>
        <row r="502">
          <cell r="H502">
            <v>4</v>
          </cell>
          <cell r="I502">
            <v>0</v>
          </cell>
        </row>
        <row r="503">
          <cell r="H503">
            <v>14</v>
          </cell>
          <cell r="I503">
            <v>0</v>
          </cell>
        </row>
        <row r="504">
          <cell r="H504">
            <v>0</v>
          </cell>
          <cell r="I504">
            <v>6</v>
          </cell>
        </row>
        <row r="505">
          <cell r="H505">
            <v>15</v>
          </cell>
          <cell r="I505">
            <v>0</v>
          </cell>
        </row>
      </sheetData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Danh sach Hàn thùng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DM KHAU HAO"/>
      <sheetName val="Data"/>
      <sheetName val="주행"/>
      <sheetName val="내부결재용"/>
      <sheetName val="p2-1"/>
      <sheetName val="1ဲ.ALT"/>
      <sheetName val="1ဳ.O.S"/>
      <sheetName val="15.၄AMPER"/>
      <sheetName val="96"/>
      <sheetName val="협조전"/>
      <sheetName val="626TD"/>
      <sheetName val="FMEAPRO5"/>
      <sheetName val="GB-IC Villingen GG"/>
      <sheetName val="BACK DATA 08.7.1~"/>
      <sheetName val="E.W"/>
      <sheetName val="P.W"/>
      <sheetName val="가공비data"/>
      <sheetName val="S.W"/>
      <sheetName val="BACK DATA"/>
      <sheetName val="KMCWD"/>
      <sheetName val="OPT손익 내수"/>
      <sheetName val="OPT손익 수출"/>
      <sheetName val="Sheet4"/>
      <sheetName val="二.POSITION.XLS"/>
      <sheetName val="반송불량율"/>
      <sheetName val="10월작업불량"/>
      <sheetName val=""/>
      <sheetName val="#REF"/>
      <sheetName val="불량현황"/>
      <sheetName val="재료(확정,11월19일)"/>
      <sheetName val="MH_생산"/>
      <sheetName val="손익"/>
      <sheetName val="일자별"/>
      <sheetName val="●일일실적"/>
      <sheetName val="자산LIST"/>
      <sheetName val="BM_NEW2"/>
      <sheetName val="점유면적"/>
      <sheetName val="정리"/>
      <sheetName val="기초자료"/>
      <sheetName val="PRDW30"/>
      <sheetName val="VT원단위"/>
      <sheetName val="기초"/>
      <sheetName val="KD율"/>
      <sheetName val="GRACE"/>
      <sheetName val="시설업체주소록"/>
      <sheetName val="64164"/>
      <sheetName val="외주현황.wq1"/>
      <sheetName val="PP%계산"/>
      <sheetName val="2.대외공문"/>
      <sheetName val="현금경비중역"/>
      <sheetName val="HOUSING"/>
      <sheetName val="TEMP TORQUE"/>
      <sheetName val="1"/>
      <sheetName val="진행 DATA (2)"/>
      <sheetName val="MBNBSMTR"/>
      <sheetName val="5.세운W-A"/>
      <sheetName val="항목(1)"/>
      <sheetName val="출력값"/>
      <sheetName val="engline"/>
      <sheetName val="동아합의"/>
      <sheetName val="WEIGHT"/>
      <sheetName val="95계획"/>
      <sheetName val="카메라"/>
      <sheetName val="Sheet1"/>
      <sheetName val="126.255"/>
      <sheetName val="B053 (990701)공정실적PP%계산"/>
      <sheetName val="RHN"/>
      <sheetName val="TOTAL"/>
      <sheetName val="기초DATA"/>
      <sheetName val="RESN_SUM"/>
      <sheetName val="Actions"/>
      <sheetName val="상용"/>
      <sheetName val="건축공사"/>
      <sheetName val="14.1부"/>
      <sheetName val="BL제조표준"/>
      <sheetName val="CASE ASM"/>
      <sheetName val="공정능력외경"/>
      <sheetName val="Tbom-tot"/>
      <sheetName val="수리결과"/>
      <sheetName val="Sheet2"/>
      <sheetName val="SUB 2월 재검사추이도"/>
      <sheetName val="A-100전제"/>
      <sheetName val="Pc1%계산"/>
      <sheetName val="CIELO발주"/>
      <sheetName val="세부"/>
      <sheetName val="법인+비법인"/>
      <sheetName val="LANOS"/>
      <sheetName val="LEGANZA"/>
      <sheetName val="NUBIRA"/>
      <sheetName val="팀별 합계"/>
      <sheetName val="JT3.0견적-구1"/>
      <sheetName val="생산1-1"/>
      <sheetName val="SPEC별"/>
      <sheetName val="일본출1"/>
      <sheetName val="삼공기계"/>
      <sheetName val="화환비상"/>
      <sheetName val="1.변경범위"/>
      <sheetName val="12"/>
      <sheetName val="개발 TOOL 집계표"/>
      <sheetName val="경상 개발비"/>
      <sheetName val="96갑지"/>
      <sheetName val="code"/>
      <sheetName val="C100보고서"/>
      <sheetName val="설비능력및 종합공정능력산출시 사용"/>
      <sheetName val="Data1"/>
      <sheetName val="0000"/>
      <sheetName val="차수"/>
      <sheetName val="직원신상"/>
      <sheetName val="12-30"/>
      <sheetName val="CD-실적"/>
      <sheetName val="LX3.0 RR"/>
      <sheetName val="BACK_DATA_08_7_1~"/>
      <sheetName val="E_W"/>
      <sheetName val="P_W"/>
      <sheetName val="S_W"/>
      <sheetName val="GB-IC_Villingen_GG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외주현황_wq1"/>
      <sheetName val="Claim이력_내수내자"/>
      <sheetName val="T진도"/>
      <sheetName val="5.WIRE적용LIST"/>
      <sheetName val="매출종합.`09"/>
      <sheetName val="부문손익"/>
      <sheetName val="수입"/>
      <sheetName val="계산정보"/>
      <sheetName val="AN43"/>
      <sheetName val="구동"/>
      <sheetName val="생계99ST"/>
      <sheetName val="HCCE01"/>
      <sheetName val="c.db"/>
      <sheetName val="(BS,CF)-BACK"/>
      <sheetName val="N46"/>
      <sheetName val="TCA"/>
      <sheetName val="3.일반사상"/>
      <sheetName val="16~31"/>
      <sheetName val="MACRO1.XLM"/>
      <sheetName val="생산"/>
      <sheetName val="진도현황"/>
      <sheetName val="CLM-MP"/>
      <sheetName val="BUS제원1"/>
      <sheetName val="CALENDAR"/>
      <sheetName val="CVT산정"/>
      <sheetName val="DOOR"/>
      <sheetName val="전체현황"/>
      <sheetName val="프로젝트"/>
      <sheetName val="5-1차수정"/>
      <sheetName val="1.2내수"/>
      <sheetName val="재1"/>
      <sheetName val="95하U$가격"/>
      <sheetName val="RDLEVLST"/>
      <sheetName val="폼관조직"/>
      <sheetName val="차체"/>
      <sheetName val="부품LIST"/>
      <sheetName val="환율"/>
      <sheetName val="공정별설비검토"/>
      <sheetName val="검토사항"/>
      <sheetName val="BAU"/>
      <sheetName val="진행_DATA_(2)"/>
      <sheetName val="1_2내수"/>
      <sheetName val="2_2공정능력"/>
      <sheetName val="추이도"/>
      <sheetName val="2000 (원본)"/>
      <sheetName val="본부별팀별9911"/>
      <sheetName val="DAT(목표)"/>
      <sheetName val="LEASE4"/>
      <sheetName val="차체부품 INS REPORT(갑)"/>
      <sheetName val="본문"/>
      <sheetName val="major"/>
      <sheetName val="FUEL FILLER"/>
      <sheetName val="PC%계산"/>
      <sheetName val="SM-NEW"/>
      <sheetName val="전부인쇄"/>
      <sheetName val="day"/>
      <sheetName val="명단"/>
      <sheetName val="RD제품개발투자비(매가)"/>
      <sheetName val="Macro1"/>
      <sheetName val="2"/>
      <sheetName val="환율기준"/>
      <sheetName val="3-2.귀책부서별 DT현황"/>
      <sheetName val="초도발주서"/>
      <sheetName val="미국"/>
      <sheetName val="통합data"/>
      <sheetName val=" 납촉자"/>
      <sheetName val="업체명"/>
      <sheetName val="순위"/>
      <sheetName val="Macro2"/>
      <sheetName val="INPUT"/>
      <sheetName val="대외공문"/>
      <sheetName val="확정실적"/>
      <sheetName val="뒤차축소"/>
      <sheetName val="원본"/>
      <sheetName val="82150-39000"/>
      <sheetName val="M1master"/>
      <sheetName val="RC"/>
      <sheetName val="Open"/>
      <sheetName val="FUEL_FILLER"/>
      <sheetName val="차체부품_INS_REPORT(갑)"/>
      <sheetName val="2_대외공문"/>
      <sheetName val="5_WIRE적용LIST"/>
      <sheetName val="제품목록"/>
      <sheetName val="작성양식"/>
      <sheetName val="단중표"/>
      <sheetName val="재료율"/>
      <sheetName val="참조영역"/>
      <sheetName val="영업"/>
      <sheetName val="RHD"/>
      <sheetName val="검구사양서"/>
      <sheetName val="액슬"/>
      <sheetName val="종합"/>
      <sheetName val="프레임"/>
      <sheetName val="교육계획"/>
      <sheetName val="설비"/>
      <sheetName val="DWPM"/>
      <sheetName val="계산DATA입력"/>
      <sheetName val="EQ"/>
      <sheetName val="97"/>
      <sheetName val="품의서"/>
      <sheetName val="F4-F7"/>
      <sheetName val="업종별"/>
      <sheetName val="신규DEP"/>
      <sheetName val="투자-국내2"/>
      <sheetName val="콤보"/>
      <sheetName val="운영실적(세부)"/>
      <sheetName val="품의예산"/>
      <sheetName val="대일산업"/>
      <sheetName val="그패프"/>
      <sheetName val="_납촉자"/>
      <sheetName val="3_일반사상"/>
      <sheetName val="HP1AMLIST"/>
      <sheetName val="등속"/>
      <sheetName val="효율계획(당월)"/>
      <sheetName val="J150 승인진도관리 LIST"/>
      <sheetName val="LIST"/>
      <sheetName val="TOTAL LIST"/>
      <sheetName val="EXP-COST"/>
      <sheetName val="지정공장"/>
      <sheetName val="서울정비"/>
      <sheetName val="전체실적"/>
      <sheetName val="Price Range"/>
      <sheetName val="FTR MACRo"/>
      <sheetName val="BRAKE"/>
      <sheetName val="원소재인상자료"/>
      <sheetName val="56"/>
      <sheetName val="customer"/>
      <sheetName val="_x0000_PRDW30.XL"/>
      <sheetName val="5_세운W-A"/>
      <sheetName val="PRESS DATA"/>
      <sheetName val="Lookups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1ဲ_ALT1"/>
      <sheetName val="1ဳ_O_S1"/>
      <sheetName val="15_၄AMPER1"/>
      <sheetName val="二_POSITION_XLS1"/>
      <sheetName val="GB-IC_Villingen_GG1"/>
      <sheetName val="BACK_DATA_08_7_1~1"/>
      <sheetName val="E_W1"/>
      <sheetName val="P_W1"/>
      <sheetName val="S_W1"/>
      <sheetName val="BACK_DATA1"/>
      <sheetName val="OPT손익_내수1"/>
      <sheetName val="OPT손익_수출1"/>
      <sheetName val="외주현황_wq11"/>
      <sheetName val="2_대외공문1"/>
      <sheetName val="TEMP_TORQUE"/>
      <sheetName val="5_세운W-A1"/>
      <sheetName val="126_255"/>
      <sheetName val="B053_(990701)공정실적PP%계산"/>
      <sheetName val="14_1부"/>
      <sheetName val="CASE_ASM"/>
      <sheetName val="SUB_2월_재검사추이도"/>
      <sheetName val="팀별_합계"/>
      <sheetName val="JT3_0견적-구1"/>
      <sheetName val="1_변경범위"/>
      <sheetName val="개발_TOOL_집계표"/>
      <sheetName val="경상_개발비"/>
      <sheetName val="설비능력및_종합공정능력산출시_사용"/>
      <sheetName val="LX3_0_RR"/>
      <sheetName val="매출종합_`09"/>
      <sheetName val="c_db"/>
      <sheetName val="MACRO1_XLM"/>
      <sheetName val="PRDW30_XL"/>
      <sheetName val="PRESS_DATA"/>
      <sheetName val="실행"/>
      <sheetName val="LAMBDA 자작"/>
      <sheetName val="목록"/>
      <sheetName val="Nego PV"/>
      <sheetName val="검기갑지"/>
      <sheetName val="5월"/>
      <sheetName val="양식"/>
      <sheetName val="CSTHA616"/>
      <sheetName val="KMO"/>
      <sheetName val="생산일보(전체)"/>
      <sheetName val="RP변환코드"/>
      <sheetName val="운임.환차손-Y"/>
      <sheetName val="report_20"/>
      <sheetName val="camera_30"/>
      <sheetName val="소상 &quot;1&quot;"/>
      <sheetName val="금형품"/>
      <sheetName val="매출계획"/>
      <sheetName val="현재"/>
      <sheetName val="Tiburon"/>
      <sheetName val="선반OPT"/>
      <sheetName val="CPK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Book1"/>
      <sheetName val="기안"/>
      <sheetName val="지부전체"/>
      <sheetName val="COST관리"/>
      <sheetName val="조립지적"/>
      <sheetName val="내경"/>
      <sheetName val="경비공통"/>
      <sheetName val="월별손익"/>
      <sheetName val="변속"/>
      <sheetName val="050218"/>
      <sheetName val="시산표"/>
      <sheetName val="예산계획"/>
      <sheetName val="가격표"/>
      <sheetName val="9-1차이내역"/>
      <sheetName val="구매실(원본)"/>
      <sheetName val="집연95"/>
      <sheetName val="X-3 ENG"/>
      <sheetName val="Specification"/>
      <sheetName val="내수1.8GL"/>
      <sheetName val="Takt"/>
      <sheetName val="상용_mp"/>
      <sheetName val="운임_환차손-Y"/>
      <sheetName val="존4"/>
      <sheetName val="A-A"/>
      <sheetName val="R&amp;D"/>
      <sheetName val="전력시간대(합계)"/>
      <sheetName val="예산코드"/>
      <sheetName val="ML"/>
      <sheetName val="정산내역"/>
      <sheetName val="유효성"/>
      <sheetName val="4월채무증감"/>
      <sheetName val="재질단가"/>
      <sheetName val="악성"/>
      <sheetName val="ALPROFILE 발주실적"/>
      <sheetName val="요약"/>
      <sheetName val="CSP원자재"/>
      <sheetName val="국내품"/>
      <sheetName val="수입부품비"/>
      <sheetName val="조정명세서"/>
      <sheetName val="Evaluation objects"/>
      <sheetName val="Sheet3"/>
      <sheetName val="1-C,D"/>
      <sheetName val="DATAinput"/>
      <sheetName val="총list"/>
      <sheetName val="FACTOR"/>
      <sheetName val="예산실적전체당월"/>
      <sheetName val="712"/>
      <sheetName val="MOTO"/>
      <sheetName val="정미시간"/>
      <sheetName val="ppcarpet"/>
      <sheetName val="불량현상별END"/>
      <sheetName val="가공비(2)"/>
      <sheetName val="S13_관리계획서(체크시트)"/>
      <sheetName val="6월수불"/>
      <sheetName val="소요량분석(부자재)"/>
      <sheetName val="소요량분석(외주)"/>
      <sheetName val="발주"/>
      <sheetName val="07주차별실적"/>
      <sheetName val="MAIN"/>
      <sheetName val="ENG"/>
      <sheetName val="CONT"/>
      <sheetName val="금형비"/>
      <sheetName val="COND"/>
      <sheetName val="월생산"/>
      <sheetName val="TUBE시험성적서"/>
      <sheetName val="근태현황"/>
      <sheetName val="GK차체EO-CUT전"/>
      <sheetName val="전장"/>
      <sheetName val="공평7"/>
      <sheetName val="Grafikdaten"/>
      <sheetName val="득점현황"/>
      <sheetName val="주소(한문)"/>
      <sheetName val="99판매상세"/>
      <sheetName val="대차대조표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소상_&quot;1&quot;"/>
      <sheetName val="Nego_PV"/>
      <sheetName val="LAMBDA_자작"/>
      <sheetName val="Sheet1 (2)"/>
      <sheetName val="다목적갑"/>
      <sheetName val="DATE"/>
      <sheetName val="차종별"/>
      <sheetName val="Sheet5"/>
      <sheetName val="Sheet6 (3)"/>
      <sheetName val="판매종합"/>
      <sheetName val="유효"/>
      <sheetName val="3-2_귀책부서별_DT현황"/>
      <sheetName val="result0927"/>
      <sheetName val="대우자동차용역비"/>
      <sheetName val="PPK"/>
      <sheetName val="불출요청"/>
      <sheetName val="금액"/>
      <sheetName val="p2_1"/>
      <sheetName val=" SR3차원단위 (3)"/>
      <sheetName val="Rate data"/>
      <sheetName val="GK_XDBASE"/>
      <sheetName val="매각단가"/>
      <sheetName val="내용"/>
      <sheetName val="보고"/>
      <sheetName val="분석mast"/>
      <sheetName val="업무분장"/>
      <sheetName val="2공구산출내역"/>
      <sheetName val="계산 DATA 입력"/>
      <sheetName val="상세 계산 내역"/>
      <sheetName val="SANTAMO"/>
      <sheetName val="종합(LH)"/>
      <sheetName val="단가"/>
      <sheetName val="cv"/>
      <sheetName val="K55"/>
      <sheetName val="ORIGIN"/>
      <sheetName val="Sch7a (토요일)"/>
      <sheetName val="98종합"/>
      <sheetName val="PTR台손익"/>
      <sheetName val="resume"/>
      <sheetName val="GLOBAL PT NEW FORMAT OCT 2002"/>
      <sheetName val="RR저항Cp"/>
      <sheetName val="Dashboard"/>
      <sheetName val="MCT6"/>
      <sheetName val="재고자산명세(Y)"/>
      <sheetName val="ASSIGN"/>
      <sheetName val="제안그래프"/>
      <sheetName val="공정및생산관리절차서"/>
      <sheetName val="B"/>
      <sheetName val="대외공문 "/>
      <sheetName val="수주단가"/>
      <sheetName val="일괄인쇄"/>
      <sheetName val="Technology"/>
      <sheetName val="PP%계산-1"/>
      <sheetName val="금형991202"/>
      <sheetName val="건설성적"/>
      <sheetName val="이자율"/>
      <sheetName val="제품원재"/>
      <sheetName val="부재예실1월"/>
      <sheetName val="금강투자2000"/>
      <sheetName val="71336(R)"/>
      <sheetName val="일위대가(계측기설치)"/>
      <sheetName val="표지"/>
      <sheetName val="●현황"/>
      <sheetName val="●목차"/>
      <sheetName val="원가계산서"/>
      <sheetName val="PRO (참조)"/>
      <sheetName val="외주품 감점 유형 기준"/>
      <sheetName val="Danh Mục"/>
      <sheetName val="Danh Muc"/>
      <sheetName val="1_2내수1"/>
      <sheetName val="진행_DATA_(2)1"/>
      <sheetName val="Danh_Mục"/>
      <sheetName val="Danh_Muc"/>
      <sheetName val="파일테이블"/>
      <sheetName val="종합(PD,FD,RS)"/>
      <sheetName val="96수출"/>
      <sheetName val="감사ⓚA"/>
      <sheetName val="Cost Reduction"/>
      <sheetName val="Auswahl"/>
      <sheetName val=" PPAP 작성중 .xlsx"/>
      <sheetName val="1-Tables"/>
      <sheetName val="카니발슈마세피아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신고서.전"/>
      <sheetName val="일일 업무 현황 (3)"/>
      <sheetName val="일일 업무 현황 (5)"/>
      <sheetName val="동명재고"/>
      <sheetName val="문서처리전"/>
      <sheetName val="간이연락"/>
      <sheetName val="_x0000__x0000__x0000__x0000_ilencer"/>
      <sheetName val="가공비"/>
      <sheetName val="기준입력"/>
      <sheetName val="생산품목"/>
      <sheetName val="실적"/>
      <sheetName val="시험연구비상각"/>
      <sheetName val="XREF"/>
      <sheetName val="0 절삭조건"/>
      <sheetName val="1월"/>
      <sheetName val="SAM"/>
      <sheetName val="발생집계"/>
      <sheetName val="3"/>
      <sheetName val="4"/>
      <sheetName val="5"/>
      <sheetName val="6"/>
      <sheetName val="7"/>
      <sheetName val="8"/>
      <sheetName val="9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포머 비가동 내역"/>
      <sheetName val="5311"/>
      <sheetName val="점검시트"/>
      <sheetName val="2-1"/>
      <sheetName val="내역서"/>
      <sheetName val="오정용선임"/>
      <sheetName val="건재양식"/>
      <sheetName val="DATA BASE"/>
      <sheetName val="업체등록"/>
      <sheetName val="자재입고"/>
      <sheetName val="자재출고"/>
      <sheetName val="제품등록"/>
      <sheetName val="총소요량"/>
      <sheetName val="현재고"/>
      <sheetName val="상품재고(97)"/>
      <sheetName val="내구품질향상1"/>
      <sheetName val="(평균)"/>
      <sheetName val="냉연"/>
      <sheetName val="W-현원가"/>
      <sheetName val="hp_td_calc"/>
      <sheetName val="6B008"/>
      <sheetName val="MPL 技連"/>
      <sheetName val="342E BLOCK"/>
      <sheetName val="DFMEA"/>
      <sheetName val="02 07 27 부품판매가"/>
      <sheetName val="총"/>
      <sheetName val="윤영환"/>
      <sheetName val="차체부품_INS_REPORT(갑)1"/>
      <sheetName val="FUEL_FILLER1"/>
      <sheetName val="5_WIRE적용LIST1"/>
      <sheetName val="3_일반사상1"/>
      <sheetName val="_납촉자1"/>
      <sheetName val="일일_업무_현황_(3)"/>
      <sheetName val="일일_업무_현황_(5)"/>
      <sheetName val="417CPK"/>
      <sheetName val="SS"/>
      <sheetName val="FRONT HUB견적가"/>
      <sheetName val="VS1 Paretto분석"/>
      <sheetName val="intro"/>
      <sheetName val="TABLE"/>
      <sheetName val="재료비"/>
      <sheetName val="기준"/>
      <sheetName val="협력사 일반현황"/>
      <sheetName val="생산현황 (입력)"/>
      <sheetName val="작업시간"/>
      <sheetName val="1.ER유체응용"/>
      <sheetName val="4.시험장비"/>
      <sheetName val="급여대장(기능직)"/>
      <sheetName val="1-1.General Code"/>
      <sheetName val="임율 &amp; LOT"/>
      <sheetName val="DataBase"/>
      <sheetName val="판매98"/>
      <sheetName val="GSTOTAL"/>
      <sheetName val="3-2_귀책부서별_DT현황1"/>
      <sheetName val="0_절삭조건"/>
      <sheetName val="Segments"/>
      <sheetName val="생산계획 (2)"/>
      <sheetName val="Type"/>
      <sheetName val="내장"/>
      <sheetName val="CR CODE"/>
      <sheetName val="부서CODE"/>
      <sheetName val="THEME CODE"/>
      <sheetName val="DAT_목표_"/>
      <sheetName val="지침"/>
      <sheetName val="MC&amp;다변화"/>
      <sheetName val="ROYALTY"/>
      <sheetName val="매입세율"/>
      <sheetName val="공사개요"/>
      <sheetName val="작업일보"/>
      <sheetName val="SHAFT"/>
      <sheetName val="검사성적서(갑)"/>
      <sheetName val="장적산출"/>
      <sheetName val="96PLAN"/>
      <sheetName val="채권(하반기)"/>
      <sheetName val="SPT"/>
      <sheetName val="자재단가"/>
      <sheetName val="NGS4"/>
      <sheetName val="공정별"/>
      <sheetName val="SPG생산"/>
      <sheetName val="일반관리비"/>
      <sheetName val="업체별 단가현황"/>
      <sheetName val="정비손익"/>
      <sheetName val="10-1"/>
      <sheetName val="P&amp;L,Bal Sheet,Cash Forecast"/>
      <sheetName val="비교원가제출.고"/>
      <sheetName val="중점과제-경비(제안)"/>
      <sheetName val="Basic assumptions"/>
      <sheetName val="98지급계획"/>
      <sheetName val="월간인력"/>
      <sheetName val="기타코드"/>
      <sheetName val="년령분석표(02년)"/>
      <sheetName val="지역별"/>
      <sheetName val="세부내용"/>
      <sheetName val="이름표모음"/>
      <sheetName val="MTK_사후"/>
      <sheetName val="94B"/>
      <sheetName val="원본(실제)"/>
      <sheetName val="#142-1-갑"/>
      <sheetName val="1.세부비교원가(내수)"/>
      <sheetName val="1.종합비교원가(내수_일반_유럽)"/>
      <sheetName val="TM1Variables"/>
      <sheetName val="손익계산서"/>
      <sheetName val="CF"/>
      <sheetName val="V64"/>
      <sheetName val="31323-4A005(PPK)"/>
      <sheetName val="회순"/>
      <sheetName val="작업장"/>
      <sheetName val="공통"/>
      <sheetName val="Budget"/>
      <sheetName val="사유코드"/>
      <sheetName val="자체실적1Q"/>
      <sheetName val="MPS Q3 FY04"/>
      <sheetName val="MPS Q4 FY04"/>
      <sheetName val="125PIECE"/>
      <sheetName val="BTS-시범물량"/>
      <sheetName val="시설투자"/>
      <sheetName val="소계정"/>
      <sheetName val="BND"/>
      <sheetName val="SPONGE단가"/>
      <sheetName val="시산9812"/>
      <sheetName val="R&amp;R(DATA)"/>
      <sheetName val="팀별종합"/>
      <sheetName val="검사협정서"/>
      <sheetName val="2002년판매실적"/>
      <sheetName val="03 PFD-1"/>
      <sheetName val="물산(양산)"/>
      <sheetName val="정공(양산)"/>
      <sheetName val="테크(양산)"/>
      <sheetName val="계열사현황종합"/>
      <sheetName val="인사자료총집계"/>
      <sheetName val="印刷補助"/>
      <sheetName val="P&amp;L"/>
      <sheetName val="출장거리"/>
      <sheetName val="수출"/>
      <sheetName val="계획수량"/>
      <sheetName val="ENG油洩れ"/>
      <sheetName val="15-COMP"/>
      <sheetName val="측정-1"/>
      <sheetName val="6C007(A)"/>
      <sheetName val="생산소모품"/>
      <sheetName val="일일 생산및판매계획 대 실적"/>
      <sheetName val="물품관리"/>
      <sheetName val="업체관리"/>
      <sheetName val="12.Inv."/>
      <sheetName val="주요재료비"/>
      <sheetName val="97년 재료예산(안)"/>
      <sheetName val="추산서총괄"/>
      <sheetName val="1.터빈"/>
      <sheetName val="HEAD"/>
      <sheetName val="SYS검토(1A1)"/>
      <sheetName val="13-1-2"/>
      <sheetName val="_x005f_x0000__x005f_x0000__x005f_x0000__x005f_x0000_ile"/>
      <sheetName val="설계일정"/>
      <sheetName val="가2"/>
      <sheetName val="승인1팀"/>
      <sheetName val="2. Definitions"/>
      <sheetName val="대표자"/>
      <sheetName val="단가MSTR"/>
      <sheetName val="11년단가"/>
      <sheetName val="생산직"/>
      <sheetName val="1월~3월"/>
      <sheetName val="4월~6월"/>
      <sheetName val="7-9월"/>
      <sheetName val="10월~12월"/>
      <sheetName val="첨부6)CAPA분석표"/>
      <sheetName val="공평3"/>
      <sheetName val="공문"/>
      <sheetName val="총론"/>
      <sheetName val="리드14"/>
      <sheetName val="규칙"/>
      <sheetName val="상세"/>
      <sheetName val="연구인원내역"/>
      <sheetName val="주E95711"/>
      <sheetName val="상불"/>
      <sheetName val="master"/>
      <sheetName val="76210원가"/>
      <sheetName val="품명_자재코드"/>
      <sheetName val="코드 조건표"/>
      <sheetName val="코드_조건표"/>
      <sheetName val="MPL_技連"/>
      <sheetName val="342E_BLOCK"/>
      <sheetName val="송전기본"/>
      <sheetName val="협력사_일반현황"/>
      <sheetName val="금형_(2)"/>
      <sheetName val="오음명부"/>
      <sheetName val="CSC"/>
      <sheetName val="경비"/>
      <sheetName val="HMC 사전원가(원혁기준)13%"/>
      <sheetName val="1차명단"/>
      <sheetName val="2차 OIL량측정"/>
      <sheetName val="지점장"/>
      <sheetName val="총괄표"/>
      <sheetName val="LX3_0_RR1"/>
      <sheetName val="포머_비가동_내역"/>
      <sheetName val="Evaluation_objects"/>
      <sheetName val="FRONT_HUB견적가"/>
      <sheetName val="VS1_Paretto분석"/>
      <sheetName val="FLOW PROSES (A)"/>
      <sheetName val="세부견적"/>
      <sheetName val="VPP(BD-010) 이상보고"/>
      <sheetName val="인원수계산"/>
      <sheetName val="이름"/>
      <sheetName val="장비 전체리스트"/>
      <sheetName val="장비리스트"/>
      <sheetName val="재품별 단가"/>
      <sheetName val="세계수요종합OK"/>
      <sheetName val="중점과제별관리도"/>
      <sheetName val="BAFFLE HMC TABLE1"/>
      <sheetName val="Calculation"/>
      <sheetName val="production dept"/>
      <sheetName val="System"/>
      <sheetName val="6.수입검사 "/>
      <sheetName val="Hilfstabellen"/>
      <sheetName val="cost base e dati"/>
      <sheetName val="변수"/>
      <sheetName val="회사정보"/>
      <sheetName val="테이블"/>
      <sheetName val="대표경력"/>
      <sheetName val="Data Sheet"/>
      <sheetName val="INDIA-ML"/>
      <sheetName val="91"/>
      <sheetName val="전체지분도"/>
      <sheetName val="안산"/>
      <sheetName val="천안"/>
      <sheetName val="PB내역"/>
      <sheetName val="회사제시"/>
      <sheetName val="期別全体表"/>
      <sheetName val="Sensitivity"/>
      <sheetName val="Sheet13"/>
      <sheetName val="?????"/>
      <sheetName val="품의양"/>
      <sheetName val=" "/>
      <sheetName val="완성차"/>
      <sheetName val="FAB별"/>
      <sheetName val="기준계정"/>
      <sheetName val="코드"/>
      <sheetName val="komentár"/>
      <sheetName val="집중검사 리스트"/>
      <sheetName val="10.예산 및 원가 계획(02년)"/>
      <sheetName val="입고단가기준"/>
      <sheetName val="일반급여"/>
      <sheetName val="협력업체"/>
      <sheetName val="TOP_trans"/>
      <sheetName val="C_Pnl원가1"/>
      <sheetName val="DB"/>
      <sheetName val="F4"/>
      <sheetName val="예상효과"/>
      <sheetName val="실행내역서 "/>
      <sheetName val="상각율표"/>
      <sheetName val="개발 LIST"/>
      <sheetName val="프레스"/>
      <sheetName val="등록의뢰"/>
      <sheetName val="공정별CR"/>
      <sheetName val="000000"/>
      <sheetName val="WBS98"/>
      <sheetName val="관로공표지"/>
      <sheetName val="1_TM2"/>
      <sheetName val="TOT"/>
      <sheetName val="Mẫu DMVT"/>
      <sheetName val="Mẫu DMVT (2)"/>
      <sheetName val="BUS"/>
      <sheetName val="LOAIXE"/>
      <sheetName val="Nguon PT xetai"/>
      <sheetName val="NGUON"/>
      <sheetName val="Nguon PT xe Ben"/>
      <sheetName val="Bien s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Danh sach"/>
      <sheetName val="THƯ VIỆN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5300"/>
      <sheetName val="단기차입금(200006)"/>
      <sheetName val="영업외"/>
      <sheetName val="1.1 2008 OTIF"/>
      <sheetName val="▶사출"/>
      <sheetName val="▶R_C FRM"/>
      <sheetName val="동성세부내역"/>
      <sheetName val="차체 품안표"/>
      <sheetName val="주요재무비율"/>
      <sheetName val="PNL ASS'Y CRASH PAD UPR RH"/>
      <sheetName val="CHINO검량선"/>
      <sheetName val="재고정확2"/>
      <sheetName val="수정시산표"/>
      <sheetName val="TEMP1"/>
      <sheetName val="A1"/>
      <sheetName val="S50 "/>
      <sheetName val="여비"/>
      <sheetName val="TABLE(KR)"/>
      <sheetName val="생산실적"/>
      <sheetName val="PC%계산(WM.COMM단차)"/>
      <sheetName val="급여대장(입력용)"/>
      <sheetName val="설비LIST"/>
      <sheetName val="매출"/>
      <sheetName val="무부하 회전수"/>
      <sheetName val="END"/>
      <sheetName val="1~3월 지시사항"/>
      <sheetName val="소유주(원)"/>
      <sheetName val="인원01"/>
      <sheetName val="1.POSITIONING"/>
      <sheetName val="사양정리"/>
      <sheetName val="Value Analysis - Sheet 1"/>
      <sheetName val="84531"/>
      <sheetName val="lot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차체부품_INS_REPORT(갑)2"/>
      <sheetName val="2_대외공문2"/>
      <sheetName val="외주현황_wq12"/>
      <sheetName val="FUEL_FILLER2"/>
      <sheetName val="3_일반사상2"/>
      <sheetName val="5_WIRE적용LIST2"/>
      <sheetName val="진행_DATA_(2)2"/>
      <sheetName val="3-2_귀책부서별_DT현황2"/>
      <sheetName val="_납촉자2"/>
      <sheetName val="LX3_0_RR2"/>
      <sheetName val="SUB_2월_재검사추이도1"/>
      <sheetName val="JT3_0견적-구11"/>
      <sheetName val="c_db1"/>
      <sheetName val="B053_(990701)공정실적PP%계산1"/>
      <sheetName val="일일_업무_현황_(3)1"/>
      <sheetName val="일일_업무_현황_(5)1"/>
      <sheetName val="CR_CODE"/>
      <sheetName val="THEME_CODE"/>
      <sheetName val="0_절삭조건1"/>
      <sheetName val="1_세부비교원가(내수)"/>
      <sheetName val="J150_승인진도관리_LIST"/>
      <sheetName val="TOTAL_LIST"/>
      <sheetName val="Price_Range"/>
      <sheetName val="FTR_MACRo"/>
      <sheetName val="1_종합비교원가(내수_일반_유럽)"/>
      <sheetName val="금형_(2)1"/>
      <sheetName val="VS1_Paretto분석1"/>
      <sheetName val="임율_&amp;_LOT"/>
      <sheetName val="MPL_技連1"/>
      <sheetName val="342E_BLOCK1"/>
      <sheetName val="생산현황_(입력)"/>
      <sheetName val="포머_비가동_내역1"/>
      <sheetName val="1_ER유체응용"/>
      <sheetName val="4_시험장비"/>
      <sheetName val="협력사_일반현황1"/>
      <sheetName val="상세_계산_내역"/>
      <sheetName val="생산계획_(2)"/>
      <sheetName val="DATA_BASE"/>
      <sheetName val="Evaluation_objects1"/>
      <sheetName val="FRONT_HUB견적가1"/>
      <sheetName val="1-1_General_Code"/>
      <sheetName val="TEMP_TORQUE1"/>
      <sheetName val="1_변경범위1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내수1_8GL"/>
      <sheetName val="업체별_단가현황"/>
      <sheetName val="비교원가제출_고"/>
      <sheetName val="Basic_assumptions"/>
      <sheetName val="운임_환차손-Y1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항목"/>
      <sheetName val="부동산세금"/>
      <sheetName val="국영"/>
      <sheetName val="TEAM하반기 계획 (2)"/>
      <sheetName val="96연구소인건비"/>
      <sheetName val="KURSER"/>
      <sheetName val="업체리스트"/>
      <sheetName val="거래처관리"/>
      <sheetName val="ﾊﾟｲﾌﾟ"/>
      <sheetName val="冷延鋼板"/>
      <sheetName val="熱延鋼板"/>
      <sheetName val="他材料費"/>
      <sheetName val="印刷"/>
      <sheetName val="条件表"/>
      <sheetName val="02-2W"/>
      <sheetName val="별제권_정리담보권"/>
      <sheetName val="ﾏｽﾀ"/>
      <sheetName val="견적마법사"/>
      <sheetName val="전처리"/>
      <sheetName val="Option"/>
      <sheetName val="Upgrades pricing"/>
      <sheetName val="7.3 DY팀"/>
      <sheetName val="5-Why Root Cause Analysis "/>
      <sheetName val="#REF!"/>
      <sheetName val="조정내역"/>
      <sheetName val="주간업무(개발구매팀)"/>
      <sheetName val="Cover"/>
      <sheetName val="포트외경(A)"/>
      <sheetName val="2001Org"/>
      <sheetName val="일보"/>
      <sheetName val="BSL"/>
      <sheetName val="진행중 설변"/>
      <sheetName val="96수표어음"/>
      <sheetName val="실적관리"/>
      <sheetName val="Financials"/>
      <sheetName val="Yield"/>
      <sheetName val="산출기준(파견전산실)"/>
      <sheetName val="품목"/>
      <sheetName val="계정"/>
      <sheetName val="수입명세서"/>
      <sheetName val="계산program"/>
      <sheetName val="impianti"/>
      <sheetName val="출력-생산일보"/>
      <sheetName val="품목표"/>
      <sheetName val="Moulding data"/>
      <sheetName val="Volumes"/>
      <sheetName val="SCP 4"/>
      <sheetName val="SCP 5 D2UXT"/>
      <sheetName val="SCP 6 D2UX"/>
      <sheetName val="Invest (MAC)"/>
      <sheetName val="SCP Apr2015"/>
      <sheetName val="HOLE 9905(1)"/>
      <sheetName val="VXX"/>
      <sheetName val="."/>
      <sheetName val="공정능력(마운틴 홀 거리)"/>
      <sheetName val="양식_샘플"/>
      <sheetName val="8월3주"/>
      <sheetName val="Questionnaire"/>
      <sheetName val="2-1.제품군별계획대비실적(B.A)"/>
      <sheetName val="f3"/>
      <sheetName val="0105"/>
      <sheetName val="0505"/>
      <sheetName val="그래프"/>
      <sheetName val="공사원가계산서"/>
      <sheetName val="Summary Sheet"/>
      <sheetName val="Datasheet for KPI Model 1"/>
      <sheetName val="만년달력"/>
      <sheetName val="휴일"/>
      <sheetName val="LINE_VENT"/>
      <sheetName val="OEM 이의제기 종합"/>
      <sheetName val="신공항A-9(원가수정)"/>
      <sheetName val="감독1130"/>
      <sheetName val="RECIMAKE"/>
      <sheetName val="6월재고2"/>
      <sheetName val="광주 소요량"/>
      <sheetName val="2월"/>
      <sheetName val="조립"/>
      <sheetName val="신규"/>
      <sheetName val="_x0000__x0000__x0000__x0000_ile"/>
      <sheetName val="XMA 12월 8,000대 원,부자재_完"/>
      <sheetName val="YFA 10월분 원자재(10.12)_미납완료_完"/>
      <sheetName val="YFA 10월분 부자재(10.7,9)_FEDEX_完"/>
      <sheetName val="HD1070(T)"/>
      <sheetName val="980710"/>
      <sheetName val="9703"/>
      <sheetName val="원재료불량"/>
      <sheetName val="sapactivexlhiddensheet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(1)"/>
      <sheetName val="공정능력 (2)"/>
      <sheetName val="cpk data"/>
      <sheetName val="Tubelists"/>
      <sheetName val="표준"/>
      <sheetName val="설비사양서B-1"/>
      <sheetName val="full (2)"/>
      <sheetName val="Production Plan1"/>
      <sheetName val="ISRDATA"/>
      <sheetName val="Master Cable"/>
      <sheetName val="Supplement2"/>
      <sheetName val="DBL LPG시험"/>
      <sheetName val="목표대비실적(R)"/>
      <sheetName val="SMXEXPS"/>
      <sheetName val="금형표지"/>
      <sheetName val="INVESTMENT (Hardware)"/>
      <sheetName val="기초데이타"/>
      <sheetName val="ROLL"/>
      <sheetName val="95MAKER"/>
      <sheetName val="GAGE R&amp;R(FRT UPR)"/>
      <sheetName val="사업소별9812"/>
      <sheetName val="10년11월이월현황"/>
      <sheetName val="중공업 실적"/>
      <sheetName val="16-1531"/>
      <sheetName val=" 하반기 경비 조정계획_150627(사계 r2 기준).x"/>
      <sheetName val="치공구"/>
      <sheetName val="판가반영"/>
      <sheetName val="so-021"/>
      <sheetName val="선재"/>
      <sheetName val="????ilencer"/>
      <sheetName val="생산실적입력"/>
      <sheetName val="법인세부담액"/>
      <sheetName val="등록자료"/>
      <sheetName val="입력정보"/>
      <sheetName val="여신보고용"/>
      <sheetName val="서진단가"/>
      <sheetName val="기아계획"/>
      <sheetName val="세목별"/>
      <sheetName val="A"/>
      <sheetName val="스풀능력"/>
      <sheetName val="노무비"/>
      <sheetName val="매출이익(실적)"/>
      <sheetName val="9609추"/>
      <sheetName val="국산화"/>
      <sheetName val="0.CHMSL LED ASSY"/>
      <sheetName val="변환테이블"/>
      <sheetName val="불량 리스트"/>
      <sheetName val="불량 코드"/>
      <sheetName val="현금흐름표"/>
      <sheetName val="그림목록"/>
      <sheetName val="침탄데이타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1.세부비교_x001b__x0000__x0000_㣪洁ᚦ"/>
      <sheetName val="목차"/>
      <sheetName val="82351"/>
      <sheetName val="6_수입검사_"/>
      <sheetName val="12_Inv_"/>
      <sheetName val="97년_재료예산(안)"/>
      <sheetName val="1_터빈"/>
      <sheetName val="cost_base_e_dati"/>
      <sheetName val="_"/>
      <sheetName val="집중검사_리스트"/>
      <sheetName val="10_예산_및_원가_계획(02년)"/>
      <sheetName val="실행내역서_"/>
      <sheetName val="개발_LIST"/>
      <sheetName val="Data_Sheet"/>
      <sheetName val="BAFFLE_HMC_TABLE1"/>
      <sheetName val="Value_Analysis_-_Sheet_1"/>
      <sheetName val="PC%계산(WM_COMM단차)"/>
      <sheetName val="Cost_Reduction"/>
      <sheetName val="차체_품안표"/>
      <sheetName val="1_1_2008_OTIF"/>
      <sheetName val="1~3월_지시사항"/>
      <sheetName val="1_POSITIONING"/>
      <sheetName val="production_dept"/>
      <sheetName val="51700-C2100(이의제기)"/>
      <sheetName val="BS"/>
      <sheetName val="TB"/>
      <sheetName val="부서별3월"/>
      <sheetName val="인원"/>
      <sheetName val="HeaderInfo"/>
      <sheetName val="J100"/>
      <sheetName val="RFQ Template"/>
      <sheetName val="科目余额表"/>
      <sheetName val="정비사업장별전망"/>
      <sheetName val="부품목표"/>
      <sheetName val="부평"/>
      <sheetName val="분당"/>
      <sheetName val="평촌"/>
      <sheetName val="승인율"/>
      <sheetName val="3월말 장기악성(국내)"/>
      <sheetName val="2월말 장기악성(국내)"/>
      <sheetName val="3월"/>
      <sheetName val="Dossier_Cdc"/>
      <sheetName val="DFMEA-DRBFM"/>
      <sheetName val="95WBS"/>
      <sheetName val="재발방지대책서"/>
      <sheetName val="YOKE-H(10.3)"/>
      <sheetName val="분석"/>
      <sheetName val="TABLE DB"/>
      <sheetName val="쌍용 data base"/>
      <sheetName val="본부재고"/>
      <sheetName val="VERTICAL PIPE"/>
      <sheetName val="2쪽"/>
      <sheetName val="Sum"/>
      <sheetName val="ALL"/>
      <sheetName val="LIDE"/>
      <sheetName val="광주재료"/>
      <sheetName val="감가상각"/>
      <sheetName val="소요단량"/>
      <sheetName val="2과 공수집계"/>
      <sheetName val="2000"/>
      <sheetName val="LS"/>
      <sheetName val="첨부5"/>
      <sheetName val="5-2"/>
      <sheetName val="_____"/>
      <sheetName val="무부하_회전수"/>
      <sheetName val="진행중_설변"/>
      <sheetName val="HOLE_9905(1)"/>
      <sheetName val="Production_Plan1"/>
      <sheetName val="생산계획"/>
      <sheetName val="108.수선비"/>
      <sheetName val="8기전사사업계획"/>
      <sheetName val="36기상반기자금실적"/>
      <sheetName val="X3"/>
      <sheetName val="업체정보"/>
      <sheetName val="07DATA"/>
      <sheetName val="WJ素材費"/>
      <sheetName val="품의서양식 (3)"/>
      <sheetName val="예상투자비"/>
      <sheetName val="조선용암면"/>
      <sheetName val="매출DATA"/>
      <sheetName val="종합장"/>
      <sheetName val="集計ﾘｽﾄ"/>
      <sheetName val="원가분석"/>
      <sheetName val="법인(환율지정)"/>
      <sheetName val="_x005f_x005f_x005f_x0000__x005f_x005f_x005f_x0000__x005"/>
      <sheetName val="1. 보고"/>
      <sheetName val="수지타입(ASSY)"/>
      <sheetName val="Asset98-CAK"/>
      <sheetName val="이체비용포함2"/>
      <sheetName val="이체비용포함"/>
      <sheetName val="PNL_ASS'Y_CRASH_PAD_UPR_RH"/>
      <sheetName val="Input Page"/>
      <sheetName val="Input Sheet"/>
      <sheetName val="Aug01 Status Rpt"/>
      <sheetName val="현금및현금등가물"/>
      <sheetName val="Base Info"/>
      <sheetName val="ISSUE LIST"/>
      <sheetName val="자료"/>
      <sheetName val="Assumption"/>
      <sheetName val="직원명부"/>
      <sheetName val="ALVXXL01"/>
      <sheetName val="철심금중량"/>
      <sheetName val="PC%계산DWMC"/>
      <sheetName val="구매내역"/>
      <sheetName val="생산실적db"/>
      <sheetName val="데이터"/>
      <sheetName val="비교원RD-S"/>
      <sheetName val="철판2"/>
      <sheetName val="년도별"/>
      <sheetName val="수출가격"/>
      <sheetName val="원가계산서양식"/>
      <sheetName val="TA10"/>
      <sheetName val="미익SUB"/>
      <sheetName val="Bang KL"/>
      <sheetName val="연습"/>
      <sheetName val="업체별매출실적"/>
      <sheetName val="기본정보"/>
      <sheetName val="초기화면"/>
      <sheetName val="근태일지"/>
      <sheetName val="첨부⑥"/>
      <sheetName val="CAPA분석 360K"/>
      <sheetName val="을"/>
      <sheetName val="초등학교내역서"/>
      <sheetName val="금관"/>
      <sheetName val="백화"/>
      <sheetName val="작동logic"/>
      <sheetName val="6 N.m CCW 전류"/>
      <sheetName val="기준코드"/>
      <sheetName val="원단위 전후비교"/>
      <sheetName val="EF-SONATA"/>
      <sheetName val="02년 SUC"/>
      <sheetName val="투입공수계획"/>
      <sheetName val="월간생산계획"/>
      <sheetName val="최신"/>
      <sheetName val="Bosch ADVP&amp;R"/>
      <sheetName val="SFM-TTL"/>
      <sheetName val="수h"/>
      <sheetName val="PAKAGE4362"/>
      <sheetName val="업체별"/>
      <sheetName val="Purchasing Data"/>
      <sheetName val="실적 및 계획"/>
      <sheetName val="LL"/>
      <sheetName val="한성화물"/>
      <sheetName val="소결재공"/>
      <sheetName val="판매수량"/>
      <sheetName val="종목코드"/>
      <sheetName val="MexiqueVentes97"/>
      <sheetName val="3. 관리점지수실적-1.1생산성"/>
      <sheetName val="Sec 1 - RFQ"/>
      <sheetName val="ERP도입후 시정현황"/>
      <sheetName val="Sheet6"/>
      <sheetName val="제품정보"/>
      <sheetName val="销售计划"/>
      <sheetName val="Headcount"/>
      <sheetName val="Sales_LT"/>
      <sheetName val="승용"/>
      <sheetName val="공정능력평가-2"/>
      <sheetName val="공정능력평가-3"/>
      <sheetName val="외관검사"/>
      <sheetName val="1-1-1-2"/>
      <sheetName val="Sheet10"/>
      <sheetName val="pri"/>
      <sheetName val="외주업체"/>
      <sheetName val="임시12월"/>
      <sheetName val="생산_P"/>
      <sheetName val="Graph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99예산"/>
      <sheetName val="PPS2"/>
      <sheetName val="材料"/>
      <sheetName val="SPA원가"/>
      <sheetName val="인건비"/>
      <sheetName val="종합BDATA"/>
      <sheetName val="적하보험"/>
      <sheetName val="옹벽1"/>
      <sheetName val="영업.일1"/>
      <sheetName val="품-(주)코①"/>
      <sheetName val="적용수량"/>
      <sheetName val="자재소요"/>
      <sheetName val="판매계획"/>
      <sheetName val="EurotoolsXRates"/>
      <sheetName val="PFMEA.XLS"/>
      <sheetName val="Cpk3"/>
      <sheetName val="INVESTMENT_(Hardware)"/>
      <sheetName val="거래처"/>
      <sheetName val="Config"/>
      <sheetName val="#93"/>
      <sheetName val="STEEL95"/>
      <sheetName val="Sheet6_(3)"/>
      <sheetName val="도표"/>
      <sheetName val="2008 г"/>
      <sheetName val="조서목차"/>
      <sheetName val="가격품의"/>
      <sheetName val="월매출"/>
      <sheetName val="M96현황-동아"/>
      <sheetName val="PILOT품"/>
      <sheetName val="금형품의서"/>
      <sheetName val="RELAY FAX양식"/>
      <sheetName val="상세 견적서 (HMC)"/>
      <sheetName val="Summary"/>
      <sheetName val="2.중요한회계정책"/>
      <sheetName val="9.관계기업투자"/>
      <sheetName val="42.리스"/>
      <sheetName val="25.법인세"/>
      <sheetName val="COKBOM"/>
      <sheetName val="ﾀｰﾋﾞﾝﾃﾞｰﾀ"/>
      <sheetName val="File_Table"/>
      <sheetName val="Proj List 00E"/>
      <sheetName val="부재료"/>
      <sheetName val="97입고현황(사내)"/>
      <sheetName val="97출고현황(SEC)"/>
      <sheetName val="97출고현황(매출분)"/>
      <sheetName val="첨부3"/>
      <sheetName val="DS-Thuong 6T dau"/>
      <sheetName val="3M000"/>
      <sheetName val="물량표"/>
      <sheetName val="10년01월부터"/>
      <sheetName val="예적금"/>
      <sheetName val="세무서코드"/>
      <sheetName val="D300726_1"/>
      <sheetName val="3월판매예상_2주차"/>
      <sheetName val="_0602주-무결점운동 진행현황 보고 (20140610)"/>
      <sheetName val="업무분장 "/>
      <sheetName val="FELT"/>
      <sheetName val="내년"/>
      <sheetName val="DV Flow Chart DV-PV1 (PFC)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사업소득자세수추계"/>
      <sheetName val="WS"/>
      <sheetName val="DATA(1-8)"/>
      <sheetName val="1부생산계획"/>
      <sheetName val="이자수입"/>
      <sheetName val="사외외주매출"/>
      <sheetName val="20일시험전표지"/>
      <sheetName val="FRONT"/>
      <sheetName val="REAR "/>
      <sheetName val="FR저항Cp"/>
      <sheetName val="abs dac검사대비분석자료2"/>
      <sheetName val="RFQ Form"/>
      <sheetName val="00년거래처별실적"/>
      <sheetName val="재고품목"/>
      <sheetName val="CPK_CHART"/>
      <sheetName val="pl2k12"/>
      <sheetName val="생산(전장입력)-1"/>
      <sheetName val="GLOBAL PT NEW FORMAT JULY  2002"/>
      <sheetName val="C100"/>
      <sheetName val="인원부하"/>
      <sheetName val="DOM-競合車SPEC"/>
      <sheetName val="출입자명단"/>
      <sheetName val="ｴｱﾃﾞｨｽｸ"/>
      <sheetName val="평가표"/>
      <sheetName val="FMEAPRO3"/>
      <sheetName val="담당"/>
      <sheetName val="생산2부(COL'M,U_J)"/>
      <sheetName val="BOM"/>
      <sheetName val="산업판매입력"/>
      <sheetName val="3.PT개발계획"/>
      <sheetName val="예정임율"/>
      <sheetName val="Y3-LIST"/>
      <sheetName val="PPK(공정능력조사표)"/>
      <sheetName val="N719(NC)"/>
      <sheetName val="Interco &amp; PVS Loc Cur"/>
      <sheetName val="실적(Q11)"/>
      <sheetName val="예산(Q11)"/>
      <sheetName val="자가2급"/>
      <sheetName val="해외생산"/>
      <sheetName val="내역"/>
      <sheetName val="FO원단위"/>
      <sheetName val="Sheet16"/>
      <sheetName val="TRANSLAT"/>
      <sheetName val="21444-41900"/>
      <sheetName val="원가절감"/>
      <sheetName val="별도관리"/>
      <sheetName val="SOURCE"/>
      <sheetName val="공수"/>
      <sheetName val="3620SE"/>
      <sheetName val="공정별공법-W.HSE-LH"/>
      <sheetName val="효성"/>
      <sheetName val="자체실적Y"/>
      <sheetName val="과제"/>
      <sheetName val="Sales"/>
      <sheetName val="c.db1"/>
      <sheetName val="1st"/>
      <sheetName val="고객불만 건"/>
      <sheetName val="BACK_DATA_08_7_1~2"/>
      <sheetName val="E_W2"/>
      <sheetName val="P_W2"/>
      <sheetName val="S_W2"/>
      <sheetName val="1ဲ_ALT2"/>
      <sheetName val="1ဳ_O_S2"/>
      <sheetName val="15_၄AMPER2"/>
      <sheetName val="GB-IC_Villingen_GG2"/>
      <sheetName val="BACK_DATA2"/>
      <sheetName val="OPT손익_내수2"/>
      <sheetName val="OPT손익_수출2"/>
      <sheetName val="二_POSITION_XLS2"/>
      <sheetName val="126_2551"/>
      <sheetName val="14_1부1"/>
      <sheetName val="CASE_ASM1"/>
      <sheetName val="매출종합_`091"/>
      <sheetName val="와이어"/>
      <sheetName val="제품명 (3)"/>
      <sheetName val="MethodC"/>
      <sheetName val="업무담당"/>
      <sheetName val="첨부2"/>
      <sheetName val="JUNY"/>
      <sheetName val="069"/>
      <sheetName val="본사-출장소구분"/>
      <sheetName val="생산일보"/>
      <sheetName val="품목테이블"/>
      <sheetName val="ref"/>
      <sheetName val="전사"/>
      <sheetName val="진급관련DATA"/>
      <sheetName val="소상_&quot;1&quot;1"/>
      <sheetName val="예금미수이자(6월)"/>
      <sheetName val="TL PROTO 2열"/>
      <sheetName val="참조코드현황"/>
      <sheetName val="10-1소요"/>
      <sheetName val="목표세부명세"/>
      <sheetName val="99원가원판"/>
      <sheetName val="기안지"/>
      <sheetName val="应收帐款"/>
      <sheetName val="대지급(한미)"/>
      <sheetName val="전장품(관리용)"/>
      <sheetName val="2선재"/>
      <sheetName val="094_APP別"/>
      <sheetName val="현장"/>
      <sheetName val="변제"/>
      <sheetName val="10월11일"/>
      <sheetName val="설비능력및_종합공정능력산출시_사용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팀별_합계1"/>
      <sheetName val="Nego_PV1"/>
      <sheetName val="LAMBDA_자작1"/>
      <sheetName val="SPEC1"/>
      <sheetName val="INDEX"/>
      <sheetName val="공용라이온-2"/>
      <sheetName val="GM Master"/>
      <sheetName val="97계획(96.11"/>
      <sheetName val="재공품기초자료"/>
      <sheetName val="퇴충수정"/>
      <sheetName val="Validation Lists"/>
      <sheetName val="参照条件"/>
      <sheetName val="참고"/>
      <sheetName val="CR금액"/>
      <sheetName val="OEM Plan"/>
      <sheetName val="SO416"/>
      <sheetName val="구매사양"/>
      <sheetName val="ALPROFILE_발주실적"/>
      <sheetName val="Basic"/>
      <sheetName val="DIEZEL動弁相場"/>
      <sheetName val="4.3 첨부1"/>
      <sheetName val="5호기_Query"/>
      <sheetName val="사업경"/>
      <sheetName val="기본정보입력"/>
      <sheetName val="세부자료"/>
      <sheetName val="투자예산"/>
      <sheetName val="원가기초정보"/>
      <sheetName val="산정표"/>
      <sheetName val="영업인계"/>
      <sheetName val="재공재고"/>
      <sheetName val="포장현황"/>
      <sheetName val="분류"/>
      <sheetName val="계실5-1"/>
      <sheetName val="工程信息"/>
      <sheetName val="초기공정능력"/>
      <sheetName val="불량코드"/>
      <sheetName val="MC%계산"/>
      <sheetName val="※목록"/>
      <sheetName val="공정능력"/>
      <sheetName val="구분자료"/>
      <sheetName val="검사협정 보충"/>
      <sheetName val="Supplier QRQC"/>
      <sheetName val="발주서"/>
      <sheetName val="X-3_ENG"/>
      <sheetName val="Sheet1_(2)"/>
      <sheetName val="Sch7a_(토요일)"/>
      <sheetName val="GLOBAL_PT_NEW_FORMAT_OCT_2002"/>
      <sheetName val="대외공문_"/>
      <sheetName val="5_세운W-A2"/>
      <sheetName val="PRESS_DATA1"/>
      <sheetName val="X-3_ENG1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ဲ_ALT3"/>
      <sheetName val="1ဳ_O_S3"/>
      <sheetName val="15_၄AMPER3"/>
      <sheetName val="GB-IC_Villingen_GG3"/>
      <sheetName val="BACK_DATA_08_7_1~3"/>
      <sheetName val="E_W3"/>
      <sheetName val="P_W3"/>
      <sheetName val="S_W3"/>
      <sheetName val="二_POSITION_XLS3"/>
      <sheetName val="OPT손익_내수3"/>
      <sheetName val="OPT손익_수출3"/>
      <sheetName val="BACK_DATA3"/>
      <sheetName val="외주현황_wq13"/>
      <sheetName val="2_대외공문3"/>
      <sheetName val="TEMP_TORQUE2"/>
      <sheetName val="5_세운W-A3"/>
      <sheetName val="126_2552"/>
      <sheetName val="B053_(990701)공정실적PP%계산2"/>
      <sheetName val="CASE_ASM2"/>
      <sheetName val="14_1부2"/>
      <sheetName val="1_변경범위2"/>
      <sheetName val="JT3_0견적-구12"/>
      <sheetName val="PRESS_DATA2"/>
      <sheetName val="SUB_2월_재검사추이도2"/>
      <sheetName val="c_db2"/>
      <sheetName val="설비능력및_종합공정능력산출시_사용2"/>
      <sheetName val="소상_&quot;1&quot;2"/>
      <sheetName val="팀별_합계2"/>
      <sheetName val="운임_환차손-Y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내수1_8GL1"/>
      <sheetName val="외주품_감점_유형_기준"/>
      <sheetName val="PRO_(참조)"/>
      <sheetName val="Master_Cable"/>
      <sheetName val="CAPA분석_360K"/>
      <sheetName val="실적_및_계획"/>
      <sheetName val="공정능력_(2)"/>
      <sheetName val="3__관리점지수실적-1_1생산성"/>
      <sheetName val="Sec_1_-_RFQ"/>
      <sheetName val="02년_SUC"/>
      <sheetName val="Rate_data"/>
      <sheetName val="원단위_전후비교"/>
      <sheetName val="Bosch_ADVP&amp;R"/>
      <sheetName val="_SR3차원단위_(3)"/>
      <sheetName val="공정별공법-W_HSE-LH"/>
      <sheetName val="73711"/>
      <sheetName val="설계명세"/>
      <sheetName val="PS SIDE OTR INR 공정개선 상세"/>
      <sheetName val="비가동-20"/>
      <sheetName val="영업용가격대"/>
      <sheetName val="노동부"/>
      <sheetName val="첨부#1(SRC)"/>
      <sheetName val="1.기안을지"/>
      <sheetName val="PROFILE"/>
      <sheetName val="콤비품의-3"/>
      <sheetName val="3사분기"/>
      <sheetName val="분기별데이타"/>
      <sheetName val="월별데이타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HSA"/>
      <sheetName val="TEL"/>
      <sheetName val="분석DATA(년도별)"/>
      <sheetName val="09년 현황"/>
      <sheetName val="CNC810M"/>
      <sheetName val="원가절감종합"/>
      <sheetName val="WTC BODY一覧原紙"/>
      <sheetName val="국고채권3-5"/>
      <sheetName val="가동일보"/>
      <sheetName val="5사남"/>
      <sheetName val="BOX ASSY"/>
      <sheetName val="After sales"/>
      <sheetName val="CAR Form Summary"/>
      <sheetName val="첨부4.기술평가서"/>
      <sheetName val="LOCKUP"/>
      <sheetName val="54813M2001"/>
      <sheetName val="Personnaliser..."/>
      <sheetName val="Takt Time"/>
      <sheetName val="시설이용권명세서"/>
      <sheetName val="특정현금과예금"/>
      <sheetName val="99정부과제종합"/>
      <sheetName val="Data입력"/>
      <sheetName val="기계(1998~2003년)작업본"/>
      <sheetName val="기계(2004년)작업본"/>
      <sheetName val="입력laser"/>
      <sheetName val="25414-B2060"/>
      <sheetName val="項目定義"/>
      <sheetName val="양식-금형"/>
      <sheetName val="1.2.2완제품검사('00.4월) (가라)"/>
      <sheetName val="cr2000분석"/>
      <sheetName val="64512(갑)"/>
      <sheetName val="경영재무 (입력)"/>
      <sheetName val="연구개발 (입력)"/>
      <sheetName val="일반현황 (입력)"/>
      <sheetName val="품질관리 (입력)"/>
      <sheetName val="Data Input"/>
      <sheetName val="건축내역"/>
      <sheetName val="평가"/>
      <sheetName val="별제권_정리담보권1"/>
      <sheetName val="금형이력"/>
      <sheetName val="설계내역서"/>
      <sheetName val="종합표"/>
      <sheetName val="FO-BO-ER"/>
      <sheetName val="INJ_FRT"/>
      <sheetName val="3.3검토국"/>
      <sheetName val="출고현황"/>
      <sheetName val="오퍼(DS)"/>
      <sheetName val="6월(DS)"/>
      <sheetName val="물량표S"/>
      <sheetName val="PAINT"/>
      <sheetName val="실행내역"/>
      <sheetName val="4월"/>
      <sheetName val="비용구조"/>
      <sheetName val="피엘"/>
      <sheetName val="Issues List"/>
      <sheetName val="Appendix_TT"/>
      <sheetName val="(2)월생산현황 "/>
      <sheetName val="LINE PPM-분석"/>
      <sheetName val="현장관리비"/>
      <sheetName val="수불부"/>
      <sheetName val="Actual data"/>
      <sheetName val="기준정보"/>
      <sheetName val="불량건수"/>
      <sheetName val="외주집계"/>
      <sheetName val="배부기준"/>
      <sheetName val="원가 종합"/>
      <sheetName val="SM672-001(A)"/>
      <sheetName val="3)재료비"/>
      <sheetName val="CPk원본"/>
      <sheetName val="GYOKAK2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J2(P.MT)"/>
      <sheetName val="전산DATA"/>
      <sheetName val="551"/>
      <sheetName val="집계표(VAN)"/>
      <sheetName val="TWIST"/>
      <sheetName val="양식(주)"/>
      <sheetName val="PQ분석2"/>
      <sheetName val="PQ분석3"/>
      <sheetName val="PQ분석1"/>
      <sheetName val="투자승인절차"/>
      <sheetName val="광주"/>
      <sheetName val="Bas Moteur"/>
      <sheetName val="Hab2"/>
      <sheetName val="Hab1"/>
      <sheetName val="출금계획"/>
      <sheetName val="1_2내수2"/>
      <sheetName val="Cost_Reduction1"/>
      <sheetName val="PFMEA_XLS"/>
      <sheetName val="신고서_전"/>
      <sheetName val="Sheet6_(3)1"/>
      <sheetName val="영업_일1"/>
      <sheetName val="RELAY_FAX양식"/>
      <sheetName val="상세_견적서_(HMC)"/>
      <sheetName val="INVESTMENT_(Hardware)1"/>
      <sheetName val="2008_г"/>
      <sheetName val="2_중요한회계정책"/>
      <sheetName val="9_관계기업투자"/>
      <sheetName val="42_리스"/>
      <sheetName val="25_법인세"/>
      <sheetName val="_PPAP_작성중__xlsx"/>
      <sheetName val="Proj_List_00E"/>
      <sheetName val="DBL_LPG시험"/>
      <sheetName val="1_2내수3"/>
      <sheetName val="진행_DATA_(2)3"/>
      <sheetName val="Cost_Reduction2"/>
      <sheetName val="PFMEA_XLS1"/>
      <sheetName val="신고서_전1"/>
      <sheetName val="Basic_assumptions1"/>
      <sheetName val="Drop-down Lists"/>
      <sheetName val="incetive"/>
      <sheetName val="2012 Volum"/>
      <sheetName val="공장코드"/>
      <sheetName val="거래선"/>
      <sheetName val="완성차물량"/>
      <sheetName val="Part_no"/>
      <sheetName val="PARAMETRES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CFLOW"/>
      <sheetName val="B053 (990701)공정능력PC%계산"/>
      <sheetName val="OP12037"/>
      <sheetName val="1.세부비교_x001b_"/>
      <sheetName val="종합현황"/>
      <sheetName val="PL"/>
      <sheetName val="신청현황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라이온2"/>
      <sheetName val="공통비"/>
      <sheetName val="BI-FUEL AIR VENT PIPE"/>
      <sheetName val="4.Vendor price"/>
      <sheetName val="14년 증판안 판촉"/>
      <sheetName val="14,15,16"/>
      <sheetName val="RSDB"/>
      <sheetName val="WSDB"/>
      <sheetName val="매입자료1"/>
      <sheetName val="표준(재질단가,조형단가)"/>
      <sheetName val="표준(중자)"/>
      <sheetName val="2WD(KJ5G0662)"/>
      <sheetName val="기본데이타"/>
      <sheetName val="은행"/>
      <sheetName val="TEMP2"/>
      <sheetName val="PIVOT"/>
      <sheetName val="Actual In &amp; Out"/>
      <sheetName val="조정"/>
      <sheetName val="1.TAT_Info."/>
      <sheetName val="차액보증"/>
      <sheetName val="1.종합평가표"/>
      <sheetName val="SALE분석"/>
      <sheetName val="효과금액비교"/>
      <sheetName val="RFQ 1804"/>
      <sheetName val="운영"/>
      <sheetName val="DS_MBR RR Side  - PcA"/>
      <sheetName val="SRC(현재)"/>
      <sheetName val="Europe PU-1"/>
      <sheetName val="MM利益・原価企画方針書ｶｸ１"/>
      <sheetName val="WE'T"/>
      <sheetName val="BREAKDOWN(철거설치)"/>
      <sheetName val="6월"/>
      <sheetName val="기간별품목별불량유형집계"/>
      <sheetName val="차체부품_INS_REPORT(갑)3"/>
      <sheetName val="FUEL_FILLER3"/>
      <sheetName val="5_WIRE적용LIST3"/>
      <sheetName val="_납촉자3"/>
      <sheetName val="3_일반사상3"/>
      <sheetName val="금형_(2)2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SUB_2월_재검사추이도3"/>
      <sheetName val="JT3_0견적-구13"/>
      <sheetName val="c_db3"/>
      <sheetName val="금형_(2)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J150_승인진도관리_LIST2"/>
      <sheetName val="TOTAL_LIST2"/>
      <sheetName val="Price_Range2"/>
      <sheetName val="FTR_MACRo2"/>
      <sheetName val="협력사_일반현황2"/>
      <sheetName val="0_절삭조건2"/>
      <sheetName val="상세_계산_내역2"/>
      <sheetName val="MPL_技連2"/>
      <sheetName val="342E_BLOCK2"/>
      <sheetName val="1-1_General_Code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J150_승인진도관리_LIST1"/>
      <sheetName val="TOTAL_LIST1"/>
      <sheetName val="Price_Range1"/>
      <sheetName val="FTR_MACRo1"/>
      <sheetName val="상세_계산_내역1"/>
      <sheetName val="4.20)통계적기법관리절차서"/>
      <sheetName val="지점분석00"/>
      <sheetName val="Dual PMP수율"/>
      <sheetName val="체재비"/>
      <sheetName val="월간단가"/>
      <sheetName val="业体目录"/>
      <sheetName val="기타 부자재"/>
      <sheetName val="분리막"/>
      <sheetName val="전해액"/>
      <sheetName val="LJM"/>
      <sheetName val="Full PBD"/>
      <sheetName val="첨부13. 사출(PAD)_카메라"/>
      <sheetName val="Raw_data"/>
      <sheetName val="CHI TIẾT"/>
      <sheetName val="96원가"/>
      <sheetName val="PMBG12LD 장비및인원소요(D.A기준) "/>
      <sheetName val="basic_info"/>
      <sheetName val="10매출"/>
      <sheetName val="MAT_N048"/>
      <sheetName val="구분목록"/>
      <sheetName val="사원관리"/>
      <sheetName val="NEW TOOL MASTER"/>
      <sheetName val="stockmonthlylist(stock_20190828"/>
      <sheetName val="DWPM분석시트"/>
      <sheetName val="매출(총액)"/>
      <sheetName val="판관비"/>
      <sheetName val="3-2002년 소모공구비"/>
      <sheetName val="数据库不可删除"/>
      <sheetName val="STD_DEVCHARTadd"/>
      <sheetName val="재품명"/>
      <sheetName val="불량명"/>
      <sheetName val="1.TP조립"/>
      <sheetName val="주E957㲆"/>
      <sheetName val="주E957㲆"/>
      <sheetName val="설비LIS_x0000_"/>
      <sheetName val="설비LIS_x0001_"/>
      <sheetName val="설비LIS"/>
      <sheetName val="개발원가 종합"/>
      <sheetName val="Sheet"/>
      <sheetName val="5업체"/>
      <sheetName val="갑지"/>
      <sheetName val="１１月"/>
      <sheetName val="MS.SPEC"/>
      <sheetName val="SP"/>
      <sheetName val="재(실)"/>
      <sheetName val="인도원가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CONSUMO DE RESINA "/>
      <sheetName val="드롭다운"/>
      <sheetName val="업체데이터"/>
      <sheetName val="Tool Type"/>
      <sheetName val="LCAUTO.4"/>
      <sheetName val="LCAT수.조"/>
      <sheetName val="1단가변동"/>
      <sheetName val="日程"/>
      <sheetName val="進め方"/>
      <sheetName val="報告書表紙"/>
      <sheetName val="월별수입"/>
      <sheetName val=" Common Info Page"/>
      <sheetName val="XL4Poppy"/>
      <sheetName val="AQL(0.65)"/>
      <sheetName val="접촉온도"/>
      <sheetName val="_x005f_x0000__x005f_x0000__x005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NET면적"/>
      <sheetName val="2009년 매출 실적"/>
      <sheetName val="JINKYU"/>
      <sheetName val="OCT"/>
      <sheetName val="(9차)(본드합포)"/>
      <sheetName val="(9차)(화염양면라미)"/>
      <sheetName val="_1"/>
      <sheetName val="2-1_제품군별계획대비실적(B_A)"/>
      <sheetName val="공정능력(마운틴_홀_거리)"/>
      <sheetName val="Summary_Sheet"/>
      <sheetName val="Datasheet_for_KPI_Model_1"/>
      <sheetName val="OEM_이의제기_종합"/>
      <sheetName val="S50_"/>
      <sheetName val="신1"/>
      <sheetName val="DV_Flow_Chart_DV-PV1_(PFC)"/>
      <sheetName val="임율"/>
      <sheetName val="13년임율"/>
      <sheetName val="사정표"/>
      <sheetName val="구list"/>
      <sheetName val="단가2"/>
      <sheetName val="Burnish"/>
      <sheetName val="기타"/>
      <sheetName val="재질표"/>
      <sheetName val="내부품질감사절차서"/>
      <sheetName val="일보_생산"/>
      <sheetName val="2차 OI_x0010__x0000__xda10_࠱"/>
      <sheetName val="2차 OI_x0000__x0000_젘_x0000_"/>
      <sheetName val="2차 OI䑲⿀_x0000__x0000_"/>
      <sheetName val="공문송부업체"/>
      <sheetName val="기준DATA"/>
      <sheetName val="2차 OI"/>
      <sheetName val="2차 OI_x0010_"/>
      <sheetName val="설비LIS"/>
      <sheetName val="2차 OI䑲⿀"/>
      <sheetName val="Quant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/>
      <sheetData sheetId="1464"/>
      <sheetData sheetId="1465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/>
      <sheetData sheetId="1475"/>
      <sheetData sheetId="1476"/>
      <sheetData sheetId="1477"/>
      <sheetData sheetId="1478"/>
      <sheetData sheetId="1479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 refreshError="1"/>
      <sheetData sheetId="1640" refreshError="1"/>
      <sheetData sheetId="1641" refreshError="1"/>
      <sheetData sheetId="1642"/>
      <sheetData sheetId="1643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/>
      <sheetData sheetId="1669"/>
      <sheetData sheetId="1670"/>
      <sheetData sheetId="167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>
        <row r="73">
          <cell r="E73">
            <v>-1978066.1999669024</v>
          </cell>
        </row>
      </sheetData>
      <sheetData sheetId="2227">
        <row r="73">
          <cell r="E73">
            <v>-1978066.1999669024</v>
          </cell>
        </row>
      </sheetData>
      <sheetData sheetId="2228">
        <row r="73">
          <cell r="E73">
            <v>-1978066.1999669024</v>
          </cell>
        </row>
      </sheetData>
      <sheetData sheetId="2229">
        <row r="73">
          <cell r="E73">
            <v>-1978066.1999669024</v>
          </cell>
        </row>
      </sheetData>
      <sheetData sheetId="2230">
        <row r="73">
          <cell r="E73">
            <v>-1978066.1999669024</v>
          </cell>
        </row>
      </sheetData>
      <sheetData sheetId="2231">
        <row r="73">
          <cell r="E73">
            <v>-1978066.1999669024</v>
          </cell>
        </row>
      </sheetData>
      <sheetData sheetId="2232">
        <row r="73">
          <cell r="E73">
            <v>-1978066.1999669024</v>
          </cell>
        </row>
      </sheetData>
      <sheetData sheetId="2233">
        <row r="73">
          <cell r="E73">
            <v>-1978066.1999669024</v>
          </cell>
        </row>
      </sheetData>
      <sheetData sheetId="2234">
        <row r="73">
          <cell r="E73">
            <v>-1978066.1999669024</v>
          </cell>
        </row>
      </sheetData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/>
      <sheetData sheetId="2372"/>
      <sheetData sheetId="2373"/>
      <sheetData sheetId="2374"/>
      <sheetData sheetId="2375"/>
      <sheetData sheetId="2376"/>
      <sheetData sheetId="2377" refreshError="1"/>
      <sheetData sheetId="2378" refreshError="1"/>
      <sheetData sheetId="2379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부품LIST"/>
      <sheetName val="본부별팀별9911"/>
      <sheetName val="#REF"/>
      <sheetName val="SM-NEW"/>
      <sheetName val="CD-실적"/>
      <sheetName val="차체부품 INS REPORT(갑)"/>
      <sheetName val="본문"/>
      <sheetName val="major"/>
      <sheetName val="DAT(목표)"/>
      <sheetName val="LEASE4"/>
      <sheetName val="2.대외공문"/>
      <sheetName val="FUEL FILLER"/>
      <sheetName val="12-30"/>
      <sheetName val="PC%계산"/>
      <sheetName val="RD제품개발투자비(매가)"/>
      <sheetName val="PP%계산"/>
      <sheetName val="2"/>
      <sheetName val="전부인쇄"/>
      <sheetName val="수리결과"/>
      <sheetName val="day"/>
      <sheetName val="BM_NEW2"/>
      <sheetName val="초도발주서"/>
      <sheetName val="Sheet1"/>
      <sheetName val="미국"/>
      <sheetName val="외주현황.wq1"/>
      <sheetName val="PRDW30"/>
      <sheetName val="5.WIRE적용LIST"/>
      <sheetName val="GRACE"/>
      <sheetName val="Sheet4"/>
      <sheetName val="CALENDAR"/>
      <sheetName val="p2-1"/>
      <sheetName val="협조전"/>
      <sheetName val="3.일반사상"/>
      <sheetName val="진행 DATA (2)"/>
      <sheetName val="명단"/>
      <sheetName val="Macro1"/>
      <sheetName val="상용"/>
      <sheetName val="환율기준"/>
      <sheetName val="3-2.귀책부서별 DT현황"/>
      <sheetName val="현금경비중역"/>
      <sheetName val="통합data"/>
      <sheetName val=" 납촉자"/>
      <sheetName val="업체명"/>
      <sheetName val="순위"/>
      <sheetName val="Macro2"/>
      <sheetName val="계산정보"/>
      <sheetName val="INPUT"/>
      <sheetName val="대외공문"/>
      <sheetName val="차수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FUEL_FILLER"/>
      <sheetName val="차체부품_INS_REPORT(갑)"/>
      <sheetName val="2_대외공문"/>
      <sheetName val="5_WIRE적용LIST"/>
      <sheetName val="진행_DATA_(2)"/>
      <sheetName val="외주현황_wq1"/>
      <sheetName val="제품목록"/>
      <sheetName val="Open"/>
      <sheetName val="작성양식"/>
      <sheetName val="확정실적"/>
      <sheetName val="LX3.0 RR"/>
      <sheetName val="단중표"/>
      <sheetName val="재료율"/>
      <sheetName val="SUB 2월 재검사추이도"/>
      <sheetName val="M1master"/>
      <sheetName val="RC"/>
      <sheetName val="GB-IC Villingen GG"/>
      <sheetName val="_납촉자"/>
      <sheetName val="3_일반사상"/>
      <sheetName val="RHD"/>
      <sheetName val="그패프"/>
      <sheetName val="참조영역"/>
      <sheetName val="뒤차축소"/>
      <sheetName val="원본"/>
      <sheetName val="영업"/>
      <sheetName val="Sheet2"/>
      <sheetName val="c.db"/>
      <sheetName val="설비"/>
      <sheetName val="0000"/>
      <sheetName val="5.세운W-A"/>
      <sheetName val="계산DATA입력"/>
      <sheetName val="추이도"/>
      <sheetName val="MH_생산"/>
      <sheetName val="교육계획"/>
      <sheetName val="result0927"/>
      <sheetName val="대우자동차용역비"/>
      <sheetName val="82150-39000"/>
      <sheetName val="검구사양서"/>
      <sheetName val="RHN"/>
      <sheetName val="액슬"/>
      <sheetName val="종합"/>
      <sheetName val="프레임"/>
      <sheetName val="DWPM"/>
      <sheetName val="시설업체주소록"/>
      <sheetName val="점유면적"/>
      <sheetName val="EQ"/>
      <sheetName val="97"/>
      <sheetName val="품의서"/>
      <sheetName val="F4-F7"/>
      <sheetName val="업종별"/>
      <sheetName val="B053 (990701)공정실적PP%계산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품의예산"/>
      <sheetName val="대일산업"/>
      <sheetName val="HP1AMLIST"/>
      <sheetName val="등속"/>
      <sheetName val="JT3.0견적-구1"/>
      <sheetName val="효율계획(당월)"/>
      <sheetName val="J150 승인진도관리 LIST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원소재인상자료"/>
      <sheetName val="일일 업무 현황 (3)"/>
      <sheetName val="일일 업무 현황 (5)"/>
      <sheetName val="3-2_귀책부서별_DT현황"/>
      <sheetName val="동명재고"/>
      <sheetName val="PPK"/>
      <sheetName val="_x0000__x0000__x0000__x0000_ilencer"/>
      <sheetName val="Tbom-tot"/>
      <sheetName val="문서처리전"/>
      <sheetName val="공정능력외경"/>
      <sheetName val="기안"/>
      <sheetName val="실적"/>
      <sheetName val="가공비"/>
      <sheetName val="금형비"/>
      <sheetName val="생산품목"/>
      <sheetName val="COST관리"/>
      <sheetName val="유효"/>
      <sheetName val="시험연구비상각"/>
      <sheetName val="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CPK"/>
      <sheetName val="기준"/>
      <sheetName val="기준입력"/>
      <sheetName val="업체등록"/>
      <sheetName val="자재입고"/>
      <sheetName val="자재출고"/>
      <sheetName val="제품등록"/>
      <sheetName val="총소요량"/>
      <sheetName val="현재고"/>
      <sheetName val="0 절삭조건"/>
      <sheetName val="변속"/>
      <sheetName val="1월"/>
      <sheetName val="월별손익"/>
      <sheetName val="간이연락"/>
      <sheetName val="환율"/>
      <sheetName val="점검시트"/>
      <sheetName val="SANTAMO"/>
      <sheetName val="득점현황"/>
      <sheetName val="SAM"/>
      <sheetName val="2-1"/>
      <sheetName val="내역서"/>
      <sheetName val="SS"/>
      <sheetName val="발생집계"/>
      <sheetName val="검기갑지"/>
      <sheetName val="협력사 일반현황"/>
      <sheetName val="생산현황 (입력)"/>
      <sheetName val="작업시간"/>
      <sheetName val="1.ER유체응용"/>
      <sheetName val="4.시험장비"/>
      <sheetName val="내구품질향상1"/>
      <sheetName val="Evaluation objects"/>
      <sheetName val="FRONT HUB견적가"/>
      <sheetName val="VS1 Paretto분석"/>
      <sheetName val="ML"/>
      <sheetName val="급여대장(기능직)"/>
      <sheetName val="1-1.General Code"/>
      <sheetName val="XREF"/>
      <sheetName val="가공비(2)"/>
      <sheetName val="냉연"/>
      <sheetName val="내경"/>
      <sheetName val="금강투자2000"/>
      <sheetName val="건재양식"/>
      <sheetName val="재료비"/>
      <sheetName val="GK_XDBASE"/>
      <sheetName val="(평균)"/>
      <sheetName val="임율 &amp; LOT"/>
      <sheetName val="9-1차이내역"/>
      <sheetName val="DataBase"/>
      <sheetName val="판매98"/>
      <sheetName val="GSTOTAL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LX3_0_RR"/>
      <sheetName val="3-2_귀책부서별_DT현황1"/>
      <sheetName val="3_일반사상1"/>
      <sheetName val="B053_(990701)공정실적PP%계산"/>
      <sheetName val="_납촉자1"/>
      <sheetName val="5_세운W-A"/>
      <sheetName val="SUB_2월_재검사추이도"/>
      <sheetName val="GB-IC_Villingen_GG"/>
      <sheetName val="c_db"/>
      <sheetName val="1_2내수"/>
      <sheetName val="0_절삭조건"/>
      <sheetName val="Segments"/>
      <sheetName val="경비공통"/>
      <sheetName val="생산계획 (2)"/>
      <sheetName val="일일_업무_현황_(3)"/>
      <sheetName val="일일_업무_현황_(5)"/>
      <sheetName val="JT3_0견적-구1"/>
      <sheetName val="5311"/>
      <sheetName val="TOTAL"/>
      <sheetName val="Type"/>
      <sheetName val="포머 비가동 내역"/>
      <sheetName val="내장"/>
      <sheetName val="오정용선임"/>
      <sheetName val="DATA BASE"/>
      <sheetName val="카메라"/>
      <sheetName val="CR CODE"/>
      <sheetName val="부서CODE"/>
      <sheetName val="THEME CODE"/>
      <sheetName val=""/>
      <sheetName val="DAT_목표_"/>
      <sheetName val="14.1부"/>
      <sheetName val="지침"/>
      <sheetName val="MC&amp;다변화"/>
      <sheetName val="ROYALTY"/>
      <sheetName val="매입세율"/>
      <sheetName val="공사개요"/>
      <sheetName val="KD율"/>
      <sheetName val="CASE ASM"/>
      <sheetName val="MPL 技連"/>
      <sheetName val="342E BLOCK"/>
      <sheetName val="작업일보"/>
      <sheetName val="SHAFT"/>
      <sheetName val="검사성적서(갑)"/>
      <sheetName val="표지"/>
      <sheetName val="장적산출"/>
      <sheetName val="R&amp;D"/>
      <sheetName val="96PLAN"/>
      <sheetName val="상세 계산 내역"/>
      <sheetName val="채권(하반기)"/>
      <sheetName val="B"/>
      <sheetName val="712"/>
      <sheetName val="RR저항Cp"/>
      <sheetName val="MCT6"/>
      <sheetName val="SPT"/>
      <sheetName val="선반OPT"/>
      <sheetName val="98종합"/>
      <sheetName val="자재단가"/>
      <sheetName val="주행"/>
      <sheetName val="생산1-1"/>
      <sheetName val="NGS4"/>
      <sheetName val="공정별"/>
      <sheetName val="hp_td_calc"/>
      <sheetName val="6B008"/>
      <sheetName val="SPG생산"/>
      <sheetName val="일반관리비"/>
      <sheetName val="RDLEVLST"/>
      <sheetName val="업체별 단가현황"/>
      <sheetName val="6월수불"/>
      <sheetName val="정비손익"/>
      <sheetName val="WEIGHT"/>
      <sheetName val="Sheet5"/>
      <sheetName val="PTR台손익"/>
      <sheetName val="생계99ST"/>
      <sheetName val="상품재고(97)"/>
      <sheetName val="10-1"/>
      <sheetName val="P&amp;L,Bal Sheet,Cash Forecast"/>
      <sheetName val="626TD"/>
      <sheetName val="FMEAPRO5"/>
      <sheetName val="1ဲ.ALT"/>
      <sheetName val="1ဳ.O.S"/>
      <sheetName val="15.၄AMPER"/>
      <sheetName val="96"/>
      <sheetName val="二.POSITION.XLS"/>
      <sheetName val="반송불량율"/>
      <sheetName val="KMCWD"/>
      <sheetName val="OPT손익 내수"/>
      <sheetName val="OPT손익 수출"/>
      <sheetName val="BACK DATA 08.7.1~"/>
      <sheetName val="E.W"/>
      <sheetName val="P.W"/>
      <sheetName val="가공비data"/>
      <sheetName val="S.W"/>
      <sheetName val="기초"/>
      <sheetName val="TEMP TORQUE"/>
      <sheetName val="10월작업불량"/>
      <sheetName val="재료(확정,11월19일)"/>
      <sheetName val="손익"/>
      <sheetName val="BACK DATA"/>
      <sheetName val="정리"/>
      <sheetName val="기초자료"/>
      <sheetName val="VT원단위"/>
      <sheetName val="64164"/>
      <sheetName val="불량현황"/>
      <sheetName val="자산LIST"/>
      <sheetName val="HOUSING"/>
      <sheetName val="126.255"/>
      <sheetName val="출력값"/>
      <sheetName val="MBNBSMTR"/>
      <sheetName val="기초DATA"/>
      <sheetName val="95계획"/>
      <sheetName val="동아합의"/>
      <sheetName val="BL제조표준"/>
      <sheetName val="TCA"/>
      <sheetName val="건축공사"/>
      <sheetName val="AN43"/>
      <sheetName val="매출종합.`09"/>
      <sheetName val="부문손익"/>
      <sheetName val="수입"/>
      <sheetName val="SPEC별"/>
      <sheetName val="일본출1"/>
      <sheetName val="삼공기계"/>
      <sheetName val="화환비상"/>
      <sheetName val="구동"/>
      <sheetName val="소상 &quot;1&quot;"/>
      <sheetName val="금형품"/>
      <sheetName val="매출계획"/>
      <sheetName val="현재"/>
      <sheetName val="Tiburon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code"/>
      <sheetName val="C100보고서"/>
      <sheetName val="Pc1%계산"/>
      <sheetName val="engline"/>
      <sheetName val="1.변경범위"/>
      <sheetName val="직원신상"/>
      <sheetName val="HCCE01"/>
      <sheetName val="A-100전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MAIN"/>
      <sheetName val="ENG"/>
      <sheetName val="CONT"/>
      <sheetName val="Claim이력_내수내자"/>
      <sheetName val="RESN_SUM"/>
      <sheetName val="Actions"/>
      <sheetName val="설비능력및 종합공정능력산출시 사용"/>
      <sheetName val="비교원가제출.고"/>
      <sheetName val="공정및생산관리절차서"/>
      <sheetName val="중점과제-경비(제안)"/>
      <sheetName val="Basic assumptions"/>
      <sheetName val="98지급계획"/>
      <sheetName val="업무분장"/>
      <sheetName val="월간인력"/>
      <sheetName val="기타코드"/>
      <sheetName val="년령분석표(02년)"/>
      <sheetName val="지역별"/>
      <sheetName val="02 07 27 부품판매가"/>
      <sheetName val="총"/>
      <sheetName val="윤영환"/>
      <sheetName val="세부내용"/>
      <sheetName val="이름표모음"/>
      <sheetName val="MTK_사후"/>
      <sheetName val="94B"/>
      <sheetName val="원본(실제)"/>
      <sheetName val="#142-1-갑"/>
      <sheetName val="050218"/>
      <sheetName val="56"/>
      <sheetName val="1.세부비교원가(내수)"/>
      <sheetName val="Sheet3"/>
      <sheetName val="1.종합비교원가(내수_일반_유럽)"/>
      <sheetName val="TM1Variables"/>
      <sheetName val="손익계산서"/>
      <sheetName val="CF"/>
      <sheetName val="V64"/>
      <sheetName val="31323-4A005(PPK)"/>
      <sheetName val="회순"/>
      <sheetName val="작업장"/>
      <sheetName val="W-현원가"/>
      <sheetName val="공통"/>
      <sheetName val="Budget"/>
      <sheetName val="사유코드"/>
      <sheetName val="자체실적1Q"/>
      <sheetName val="MPS Q3 FY04"/>
      <sheetName val="MPS Q4 FY04"/>
      <sheetName val="125PIECE"/>
      <sheetName val="BTS-시범물량"/>
      <sheetName val="시설투자"/>
      <sheetName val="소계정"/>
      <sheetName val="BND"/>
      <sheetName val="SPONGE단가"/>
      <sheetName val="A-A"/>
      <sheetName val="시산9812"/>
      <sheetName val="intro"/>
      <sheetName val="DFMEA"/>
      <sheetName val="417CPK"/>
      <sheetName val="TABLE"/>
      <sheetName val="R&amp;R(DATA)"/>
      <sheetName val="팀별종합"/>
      <sheetName val="검사협정서"/>
      <sheetName val="2002년판매실적"/>
      <sheetName val="03 PFD-1"/>
      <sheetName val="DATE"/>
      <sheetName val="물산(양산)"/>
      <sheetName val="정공(양산)"/>
      <sheetName val="테크(양산)"/>
      <sheetName val="계열사현황종합"/>
      <sheetName val="인사자료총집계"/>
      <sheetName val="印刷補助"/>
      <sheetName val="P&amp;L"/>
      <sheetName val="생산"/>
      <sheetName val="진도현황"/>
      <sheetName val="출장거리"/>
      <sheetName val="수출"/>
      <sheetName val="계획수량"/>
      <sheetName val="ENG油洩れ"/>
      <sheetName val="Takt"/>
      <sheetName val="매각단가"/>
      <sheetName val="CVT산정"/>
      <sheetName val="15-COMP"/>
      <sheetName val="측정-1"/>
      <sheetName val="6C007(A)"/>
      <sheetName val="생산소모품"/>
      <sheetName val="일일 생산및판매계획 대 실적"/>
      <sheetName val="보고"/>
      <sheetName val="물품관리"/>
      <sheetName val="업체관리"/>
      <sheetName val="12.Inv."/>
      <sheetName val="주요재료비"/>
      <sheetName val="CSP원자재"/>
      <sheetName val="97년 재료예산(안)"/>
      <sheetName val="추산서총괄"/>
      <sheetName val="1.터빈"/>
      <sheetName val="HEAD"/>
      <sheetName val="SYS검토(1A1)"/>
      <sheetName val="13-1-2"/>
      <sheetName val="_x005f_x0000__x005f_x0000__x005f_x0000__x005f_x0000_ile"/>
      <sheetName val="설계일정"/>
      <sheetName val="가2"/>
      <sheetName val="승인1팀"/>
      <sheetName val="제품"/>
      <sheetName val="2. Definitions"/>
      <sheetName val="대표자"/>
      <sheetName val="양식"/>
      <sheetName val="예산코드"/>
      <sheetName val="단가MSTR"/>
      <sheetName val="11년단가"/>
      <sheetName val="생산직"/>
      <sheetName val="1월~3월"/>
      <sheetName val="4월~6월"/>
      <sheetName val="7-9월"/>
      <sheetName val="10월~12월"/>
      <sheetName val="공평7"/>
      <sheetName val="첨부6)CAPA분석표"/>
      <sheetName val="공평3"/>
      <sheetName val="공문"/>
      <sheetName val="BUS제원1"/>
      <sheetName val="DOOR"/>
      <sheetName val="전체현황"/>
      <sheetName val="프로젝트"/>
      <sheetName val="5-1차수정"/>
      <sheetName val="내수1.8GL"/>
      <sheetName val="LAMBDA 자작"/>
      <sheetName val="항목(1)"/>
      <sheetName val="유효성"/>
      <sheetName val="(BS,CF)-BACK"/>
      <sheetName val="FACTOR"/>
      <sheetName val="예산실적전체당월"/>
      <sheetName val="N46"/>
      <sheetName val="정산내역"/>
      <sheetName val="운임.환차손-Y"/>
      <sheetName val="1_변경범위"/>
      <sheetName val="TEMP_TORQUE"/>
      <sheetName val="운임_환차손-Y"/>
      <sheetName val="존4"/>
      <sheetName val="96갑지"/>
      <sheetName val="Specification"/>
      <sheetName val="지부전체"/>
      <sheetName val="CSTHA616"/>
      <sheetName val="개발 TOOL 집계표"/>
      <sheetName val="경상 개발비"/>
      <sheetName val="16~31"/>
      <sheetName val="불량현상별END"/>
      <sheetName val="1-C,D"/>
      <sheetName val="총론"/>
      <sheetName val="리드14"/>
      <sheetName val="규칙"/>
      <sheetName val="상세"/>
      <sheetName val="연구인원내역"/>
      <sheetName val="주E95711"/>
      <sheetName val="상불"/>
      <sheetName val="MACRO1.XLM"/>
      <sheetName val="master"/>
      <sheetName val="76210원가"/>
      <sheetName val="품명_자재코드"/>
      <sheetName val="코드 조건표"/>
      <sheetName val="코드_조건표"/>
      <sheetName val="MPL_技連"/>
      <sheetName val="342E_BLOCK"/>
      <sheetName val="송전기본"/>
      <sheetName val="협력사_일반현황"/>
      <sheetName val="금형_(2)"/>
      <sheetName val="오음명부"/>
      <sheetName val="CSC"/>
      <sheetName val="경비"/>
      <sheetName val="금형991202"/>
      <sheetName val="HMC 사전원가(원혁기준)13%"/>
      <sheetName val="07주차별실적"/>
      <sheetName val="1차명단"/>
      <sheetName val="2차 OIL량측정"/>
      <sheetName val="지점장"/>
      <sheetName val="총괄표"/>
      <sheetName val="LX3_0_RR1"/>
      <sheetName val="포머_비가동_내역"/>
      <sheetName val="Evaluation_objects"/>
      <sheetName val="FRONT_HUB견적가"/>
      <sheetName val="VS1_Paretto분석"/>
      <sheetName val="FLOW PROSES (A)"/>
      <sheetName val="세부견적"/>
      <sheetName val="ORIGIN"/>
      <sheetName val="계산 DATA 입력"/>
      <sheetName val="VPP(BD-010) 이상보고"/>
      <sheetName val="인원수계산"/>
      <sheetName val="이름"/>
      <sheetName val="장비 전체리스트"/>
      <sheetName val="장비리스트"/>
      <sheetName val="재품별 단가"/>
      <sheetName val="세계수요종합OK"/>
      <sheetName val="중점과제별관리도"/>
      <sheetName val="BAFFLE HMC TABLE1"/>
      <sheetName val="Calculation"/>
      <sheetName val="production dept"/>
      <sheetName val="System"/>
      <sheetName val="6.수입검사 "/>
      <sheetName val="Hilfstabellen"/>
      <sheetName val="cost base e dati"/>
      <sheetName val="변수"/>
      <sheetName val="회사정보"/>
      <sheetName val="테이블"/>
      <sheetName val="대표경력"/>
      <sheetName val="Data Sheet"/>
      <sheetName val="INDIA-ML"/>
      <sheetName val="91"/>
      <sheetName val="전체지분도"/>
      <sheetName val="안산"/>
      <sheetName val="천안"/>
      <sheetName val="PB내역"/>
      <sheetName val="회사제시"/>
      <sheetName val="期別全体表"/>
      <sheetName val="Sensitivity"/>
      <sheetName val="Sheet13"/>
      <sheetName val="?????"/>
      <sheetName val="품의양"/>
      <sheetName val=" "/>
      <sheetName val="완성차"/>
      <sheetName val="FAB별"/>
      <sheetName val="기준계정"/>
      <sheetName val="코드"/>
      <sheetName val="komentár"/>
      <sheetName val="집중검사 리스트"/>
      <sheetName val="10.예산 및 원가 계획(02년)"/>
      <sheetName val="입고단가기준"/>
      <sheetName val="일반급여"/>
      <sheetName val="협력업체"/>
      <sheetName val="TOP_trans"/>
      <sheetName val="C_Pnl원가1"/>
      <sheetName val="DB"/>
      <sheetName val="F4"/>
      <sheetName val="5월"/>
      <sheetName val="예상효과"/>
      <sheetName val="실행내역서 "/>
      <sheetName val="상각율표"/>
      <sheetName val="개발 LIST"/>
      <sheetName val="정미시간"/>
      <sheetName val="프레스"/>
      <sheetName val="등록의뢰"/>
      <sheetName val="공정별CR"/>
      <sheetName val="집연95"/>
      <sheetName val="000000"/>
      <sheetName val="WBS98"/>
      <sheetName val="관로공표지"/>
      <sheetName val="1_TM2"/>
      <sheetName val="Data1"/>
      <sheetName val="CLM-MP"/>
      <sheetName val="재1"/>
      <sheetName val="95하U$가격"/>
      <sheetName val="폼관조직"/>
      <sheetName val="공정별설비검토"/>
      <sheetName val="검토사항"/>
      <sheetName val="BAU"/>
      <sheetName val="2_2공정능력"/>
      <sheetName val="2000 (원본)"/>
      <sheetName val="customer"/>
      <sheetName val="_x0000_PRDW30.XL"/>
      <sheetName val="PRESS DATA"/>
      <sheetName val="Lookups"/>
      <sheetName val="목록"/>
      <sheetName val="KMO"/>
      <sheetName val="생산일보(전체)"/>
      <sheetName val="RP변환코드"/>
      <sheetName val="report_20"/>
      <sheetName val="camera_30"/>
      <sheetName val="Book1"/>
      <sheetName val="조립지적"/>
      <sheetName val="시산표"/>
      <sheetName val="예산계획"/>
      <sheetName val="가격표"/>
      <sheetName val="구매실(원본)"/>
      <sheetName val="X-3 ENG"/>
      <sheetName val="상용_mp"/>
      <sheetName val="전력시간대(합계)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26_255"/>
      <sheetName val="CASE_ASM"/>
      <sheetName val="14_1부"/>
      <sheetName val="설비능력및_종합공정능력산출시_사용"/>
      <sheetName val="4월채무증감"/>
      <sheetName val="재질단가"/>
      <sheetName val="악성"/>
      <sheetName val="ALPROFILE 발주실적"/>
      <sheetName val="요약"/>
      <sheetName val="국내품"/>
      <sheetName val="수입부품비"/>
      <sheetName val="조정명세서"/>
      <sheetName val="DATAinput"/>
      <sheetName val="총list"/>
      <sheetName val="실행"/>
      <sheetName val="5_세운W-A1"/>
      <sheetName val="팀별_합계"/>
      <sheetName val="개발_TOOL_집계표"/>
      <sheetName val="경상_개발비"/>
      <sheetName val="매출종합_`09"/>
      <sheetName val="MACRO1_XLM"/>
      <sheetName val="PRDW30_XL"/>
      <sheetName val="PRESS_DATA"/>
      <sheetName val="Danh Mục"/>
      <sheetName val="Danh Muc"/>
      <sheetName val="파일테이블"/>
      <sheetName val="종합(PD,FD,RS)"/>
      <sheetName val="다목적갑"/>
      <sheetName val="96수출"/>
      <sheetName val="감사ⓚA"/>
      <sheetName val="차종별"/>
      <sheetName val="Cost Reduction"/>
      <sheetName val="Auswahl"/>
      <sheetName val=" PPAP 작성중 .xlsx"/>
      <sheetName val="1-Tables"/>
      <sheetName val="카니발슈마세피아"/>
      <sheetName val="작업제품군"/>
      <sheetName val="차종"/>
      <sheetName val="사용자코드1"/>
      <sheetName val="사용자코드2"/>
      <sheetName val="매출성격"/>
      <sheetName val="지역"/>
      <sheetName val="신고서.전"/>
      <sheetName val="1_2내수1"/>
      <sheetName val="Danh_Mục"/>
      <sheetName val="Danh_Muc"/>
      <sheetName val="MOTO"/>
      <sheetName val="ppcarpet"/>
      <sheetName val="S13_관리계획서(체크시트)"/>
      <sheetName val="소요량분석(부자재)"/>
      <sheetName val="소요량분석(외주)"/>
      <sheetName val="발주"/>
      <sheetName val="COND"/>
      <sheetName val="월생산"/>
      <sheetName val="TUBE시험성적서"/>
      <sheetName val="근태현황"/>
      <sheetName val="GK차체EO-CUT전"/>
      <sheetName val="전장"/>
      <sheetName val="Grafikdaten"/>
      <sheetName val="주소(한문)"/>
      <sheetName val="99판매상세"/>
      <sheetName val="대차대조표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소상_&quot;1&quot;"/>
      <sheetName val="Nego_PV"/>
      <sheetName val="LAMBDA_자작"/>
      <sheetName val="Sheet1 (2)"/>
      <sheetName val="Sheet6 (3)"/>
      <sheetName val="판매종합"/>
      <sheetName val="불출요청"/>
      <sheetName val="금액"/>
      <sheetName val="p2_1"/>
      <sheetName val=" SR3차원단위 (3)"/>
      <sheetName val="Rate data"/>
      <sheetName val="내용"/>
      <sheetName val="분석mast"/>
      <sheetName val="2공구산출내역"/>
      <sheetName val="종합(LH)"/>
      <sheetName val="단가"/>
      <sheetName val="cv"/>
      <sheetName val="K55"/>
      <sheetName val="Sch7a (토요일)"/>
      <sheetName val="resume"/>
      <sheetName val="GLOBAL PT NEW FORMAT OCT 2002"/>
      <sheetName val="Dashboard"/>
      <sheetName val="재고자산명세(Y)"/>
      <sheetName val="ASSIGN"/>
      <sheetName val="제안그래프"/>
      <sheetName val="대외공문 "/>
      <sheetName val="수주단가"/>
      <sheetName val="일괄인쇄"/>
      <sheetName val="Technology"/>
      <sheetName val="PP%계산-1"/>
      <sheetName val="건설성적"/>
      <sheetName val="이자율"/>
      <sheetName val="제품원재"/>
      <sheetName val="부재예실1월"/>
      <sheetName val="71336(R)"/>
      <sheetName val="일위대가(계측기설치)"/>
      <sheetName val="●현황"/>
      <sheetName val="●목차"/>
      <sheetName val="원가계산서"/>
      <sheetName val="PRO (참조)"/>
      <sheetName val="외주품 감점 유형 기준"/>
      <sheetName val="Danh sach Hàn thùng"/>
      <sheetName val="TOT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DM KHAU HAO"/>
      <sheetName val="THƯ VIỆN"/>
      <sheetName val="5300"/>
      <sheetName val="단기차입금(200006)"/>
      <sheetName val="영업외"/>
      <sheetName val="1.1 2008 OTIF"/>
      <sheetName val="▶사출"/>
      <sheetName val="▶R_C FRM"/>
      <sheetName val="동성세부내역"/>
      <sheetName val="차체 품안표"/>
      <sheetName val="주요재무비율"/>
      <sheetName val="PNL ASS'Y CRASH PAD UPR RH"/>
      <sheetName val="CHINO검량선"/>
      <sheetName val="재고정확2"/>
      <sheetName val="수정시산표"/>
      <sheetName val="TEMP1"/>
      <sheetName val="A1"/>
      <sheetName val="S50 "/>
      <sheetName val="여비"/>
      <sheetName val="TABLE(KR)"/>
      <sheetName val="생산실적"/>
      <sheetName val="PC%계산(WM.COMM단차)"/>
      <sheetName val="급여대장(입력용)"/>
      <sheetName val="설비LIST"/>
      <sheetName val="매출"/>
      <sheetName val="무부하 회전수"/>
      <sheetName val="END"/>
      <sheetName val="1~3월 지시사항"/>
      <sheetName val="소유주(원)"/>
      <sheetName val="인원01"/>
      <sheetName val="1.POSITIONING"/>
      <sheetName val="사양정리"/>
      <sheetName val="Value Analysis - Sheet 1"/>
      <sheetName val="84531"/>
      <sheetName val="lot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차체부품_INS_REPORT(갑)2"/>
      <sheetName val="2_대외공문2"/>
      <sheetName val="외주현황_wq12"/>
      <sheetName val="FUEL_FILLER2"/>
      <sheetName val="3_일반사상2"/>
      <sheetName val="5_WIRE적용LIST2"/>
      <sheetName val="진행_DATA_(2)2"/>
      <sheetName val="3-2_귀책부서별_DT현황2"/>
      <sheetName val="_납촉자2"/>
      <sheetName val="LX3_0_RR2"/>
      <sheetName val="SUB_2월_재검사추이도1"/>
      <sheetName val="JT3_0견적-구11"/>
      <sheetName val="c_db1"/>
      <sheetName val="B053_(990701)공정실적PP%계산1"/>
      <sheetName val="일일_업무_현황_(3)1"/>
      <sheetName val="일일_업무_현황_(5)1"/>
      <sheetName val="CR_CODE"/>
      <sheetName val="THEME_CODE"/>
      <sheetName val="0_절삭조건1"/>
      <sheetName val="1_세부비교원가(내수)"/>
      <sheetName val="J150_승인진도관리_LIST"/>
      <sheetName val="TOTAL_LIST"/>
      <sheetName val="Price_Range"/>
      <sheetName val="FTR_MACRo"/>
      <sheetName val="1_종합비교원가(내수_일반_유럽)"/>
      <sheetName val="금형_(2)1"/>
      <sheetName val="VS1_Paretto분석1"/>
      <sheetName val="임율_&amp;_LOT"/>
      <sheetName val="MPL_技連1"/>
      <sheetName val="342E_BLOCK1"/>
      <sheetName val="생산현황_(입력)"/>
      <sheetName val="포머_비가동_내역1"/>
      <sheetName val="1_ER유체응용"/>
      <sheetName val="4_시험장비"/>
      <sheetName val="협력사_일반현황1"/>
      <sheetName val="상세_계산_내역"/>
      <sheetName val="생산계획_(2)"/>
      <sheetName val="DATA_BASE"/>
      <sheetName val="Evaluation_objects1"/>
      <sheetName val="FRONT_HUB견적가1"/>
      <sheetName val="1-1_General_Code"/>
      <sheetName val="TEMP_TORQUE1"/>
      <sheetName val="1_변경범위1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내수1_8GL"/>
      <sheetName val="업체별_단가현황"/>
      <sheetName val="비교원가제출_고"/>
      <sheetName val="Basic_assumptions"/>
      <sheetName val="운임_환차손-Y1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항목"/>
      <sheetName val="부동산세금"/>
      <sheetName val="국영"/>
      <sheetName val="TEAM하반기 계획 (2)"/>
      <sheetName val="96연구소인건비"/>
      <sheetName val="KURSER"/>
      <sheetName val="업체리스트"/>
      <sheetName val="거래처관리"/>
      <sheetName val="ﾊﾟｲﾌﾟ"/>
      <sheetName val="冷延鋼板"/>
      <sheetName val="熱延鋼板"/>
      <sheetName val="他材料費"/>
      <sheetName val="印刷"/>
      <sheetName val="条件表"/>
      <sheetName val="02-2W"/>
      <sheetName val="별제권_정리담보권"/>
      <sheetName val="ﾏｽﾀ"/>
      <sheetName val="견적마법사"/>
      <sheetName val="전처리"/>
      <sheetName val="Option"/>
      <sheetName val="Upgrades pricing"/>
      <sheetName val="7.3 DY팀"/>
      <sheetName val="5-Why Root Cause Analysis "/>
      <sheetName val="#REF!"/>
      <sheetName val="조정내역"/>
      <sheetName val="주간업무(개발구매팀)"/>
      <sheetName val="Cover"/>
      <sheetName val="포트외경(A)"/>
      <sheetName val="2001Org"/>
      <sheetName val="일보"/>
      <sheetName val="BSL"/>
      <sheetName val="진행중 설변"/>
      <sheetName val="96수표어음"/>
      <sheetName val="실적관리"/>
      <sheetName val="Financials"/>
      <sheetName val="Yield"/>
      <sheetName val="산출기준(파견전산실)"/>
      <sheetName val="품목"/>
      <sheetName val="계정"/>
      <sheetName val="수입명세서"/>
      <sheetName val="계산program"/>
      <sheetName val="impianti"/>
      <sheetName val="출력-생산일보"/>
      <sheetName val="품목표"/>
      <sheetName val="Moulding data"/>
      <sheetName val="Volumes"/>
      <sheetName val="SCP 4"/>
      <sheetName val="SCP 5 D2UXT"/>
      <sheetName val="SCP 6 D2UX"/>
      <sheetName val="Invest (MAC)"/>
      <sheetName val="SCP Apr2015"/>
      <sheetName val="HOLE 9905(1)"/>
      <sheetName val="VXX"/>
      <sheetName val="."/>
      <sheetName val="공정능력(마운틴 홀 거리)"/>
      <sheetName val="양식_샘플"/>
      <sheetName val="8월3주"/>
      <sheetName val="Questionnaire"/>
      <sheetName val="2-1.제품군별계획대비실적(B.A)"/>
      <sheetName val="f3"/>
      <sheetName val="0105"/>
      <sheetName val="0505"/>
      <sheetName val="그래프"/>
      <sheetName val="공사원가계산서"/>
      <sheetName val="Summary Sheet"/>
      <sheetName val="Datasheet for KPI Model 1"/>
      <sheetName val="만년달력"/>
      <sheetName val="휴일"/>
      <sheetName val="LINE_VENT"/>
      <sheetName val="OEM 이의제기 종합"/>
      <sheetName val="신공항A-9(원가수정)"/>
      <sheetName val="감독1130"/>
      <sheetName val="RECIMAKE"/>
      <sheetName val="6월재고2"/>
      <sheetName val="광주 소요량"/>
      <sheetName val="2월"/>
      <sheetName val="조립"/>
      <sheetName val="신규"/>
      <sheetName val="_x0000__x0000__x0000__x0000_ile"/>
      <sheetName val="XMA 12월 8,000대 원,부자재_完"/>
      <sheetName val="YFA 10월분 원자재(10.12)_미납완료_完"/>
      <sheetName val="YFA 10월분 부자재(10.7,9)_FEDEX_完"/>
      <sheetName val="HD1070(T)"/>
      <sheetName val="980710"/>
      <sheetName val="9703"/>
      <sheetName val="원재료불량"/>
      <sheetName val="sapactivexlhiddensheet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(1)"/>
      <sheetName val="공정능력 (2)"/>
      <sheetName val="cpk data"/>
      <sheetName val="Tubelists"/>
      <sheetName val="표준"/>
      <sheetName val="설비사양서B-1"/>
      <sheetName val="full (2)"/>
      <sheetName val="Production Plan1"/>
      <sheetName val="ISRDATA"/>
      <sheetName val="Master Cable"/>
      <sheetName val="Supplement2"/>
      <sheetName val="DBL LPG시험"/>
      <sheetName val="목표대비실적(R)"/>
      <sheetName val="SMXEXPS"/>
      <sheetName val="금형표지"/>
      <sheetName val="INVESTMENT (Hardware)"/>
      <sheetName val="기초데이타"/>
      <sheetName val="ROLL"/>
      <sheetName val="95MAKER"/>
      <sheetName val="GAGE R&amp;R(FRT UPR)"/>
      <sheetName val="사업소별9812"/>
      <sheetName val="10년11월이월현황"/>
      <sheetName val="중공업 실적"/>
      <sheetName val="16-1531"/>
      <sheetName val=" 하반기 경비 조정계획_150627(사계 r2 기준).x"/>
      <sheetName val="치공구"/>
      <sheetName val="판가반영"/>
      <sheetName val="so-021"/>
      <sheetName val="선재"/>
      <sheetName val="????ilencer"/>
      <sheetName val="생산실적입력"/>
      <sheetName val="법인세부담액"/>
      <sheetName val="등록자료"/>
      <sheetName val="입력정보"/>
      <sheetName val="여신보고용"/>
      <sheetName val="서진단가"/>
      <sheetName val="기아계획"/>
      <sheetName val="세목별"/>
      <sheetName val="A"/>
      <sheetName val="스풀능력"/>
      <sheetName val="노무비"/>
      <sheetName val="매출이익(실적)"/>
      <sheetName val="9609추"/>
      <sheetName val="국산화"/>
      <sheetName val="0.CHMSL LED ASSY"/>
      <sheetName val="변환테이블"/>
      <sheetName val="불량 리스트"/>
      <sheetName val="불량 코드"/>
      <sheetName val="현금흐름표"/>
      <sheetName val="그림목록"/>
      <sheetName val="침탄데이타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1.세부비교_x001b__x0000__x0000_㣪洁ᚦ"/>
      <sheetName val="목차"/>
      <sheetName val="82351"/>
      <sheetName val="6_수입검사_"/>
      <sheetName val="12_Inv_"/>
      <sheetName val="97년_재료예산(안)"/>
      <sheetName val="1_터빈"/>
      <sheetName val="cost_base_e_dati"/>
      <sheetName val="_"/>
      <sheetName val="집중검사_리스트"/>
      <sheetName val="10_예산_및_원가_계획(02년)"/>
      <sheetName val="실행내역서_"/>
      <sheetName val="개발_LIST"/>
      <sheetName val="Data_Sheet"/>
      <sheetName val="BAFFLE_HMC_TABLE1"/>
      <sheetName val="Value_Analysis_-_Sheet_1"/>
      <sheetName val="PC%계산(WM_COMM단차)"/>
      <sheetName val="Cost_Reduction"/>
      <sheetName val="차체_품안표"/>
      <sheetName val="1_1_2008_OTIF"/>
      <sheetName val="1~3월_지시사항"/>
      <sheetName val="1_POSITIONING"/>
      <sheetName val="production_dept"/>
      <sheetName val="51700-C2100(이의제기)"/>
      <sheetName val="BS"/>
      <sheetName val="TB"/>
      <sheetName val="부서별3월"/>
      <sheetName val="인원"/>
      <sheetName val="HeaderInfo"/>
      <sheetName val="J100"/>
      <sheetName val="RFQ Template"/>
      <sheetName val="科目余额表"/>
      <sheetName val="정비사업장별전망"/>
      <sheetName val="부품목표"/>
      <sheetName val="부평"/>
      <sheetName val="분당"/>
      <sheetName val="평촌"/>
      <sheetName val="승인율"/>
      <sheetName val="3월말 장기악성(국내)"/>
      <sheetName val="2월말 장기악성(국내)"/>
      <sheetName val="3월"/>
      <sheetName val="Dossier_Cdc"/>
      <sheetName val="DFMEA-DRBFM"/>
      <sheetName val="95WBS"/>
      <sheetName val="재발방지대책서"/>
      <sheetName val="YOKE-H(10.3)"/>
      <sheetName val="분석"/>
      <sheetName val="TABLE DB"/>
      <sheetName val="쌍용 data base"/>
      <sheetName val="본부재고"/>
      <sheetName val="VERTICAL PIPE"/>
      <sheetName val="2쪽"/>
      <sheetName val="Sum"/>
      <sheetName val="ALL"/>
      <sheetName val="LIDE"/>
      <sheetName val="광주재료"/>
      <sheetName val="감가상각"/>
      <sheetName val="소요단량"/>
      <sheetName val="2과 공수집계"/>
      <sheetName val="2000"/>
      <sheetName val="LS"/>
      <sheetName val="첨부5"/>
      <sheetName val="5-2"/>
      <sheetName val="_____"/>
      <sheetName val="무부하_회전수"/>
      <sheetName val="진행중_설변"/>
      <sheetName val="HOLE_9905(1)"/>
      <sheetName val="Production_Plan1"/>
      <sheetName val="생산계획"/>
      <sheetName val="108.수선비"/>
      <sheetName val="8기전사사업계획"/>
      <sheetName val="36기상반기자금실적"/>
      <sheetName val="X3"/>
      <sheetName val="업체정보"/>
      <sheetName val="07DATA"/>
      <sheetName val="WJ素材費"/>
      <sheetName val="품의서양식 (3)"/>
      <sheetName val="예상투자비"/>
      <sheetName val="조선용암면"/>
      <sheetName val="매출DATA"/>
      <sheetName val="종합장"/>
      <sheetName val="集計ﾘｽﾄ"/>
      <sheetName val="원가분석"/>
      <sheetName val="법인(환율지정)"/>
      <sheetName val="_x005f_x005f_x005f_x0000__x005f_x005f_x005f_x0000__x005"/>
      <sheetName val="1. 보고"/>
      <sheetName val="수지타입(ASSY)"/>
      <sheetName val="Asset98-CAK"/>
      <sheetName val="이체비용포함2"/>
      <sheetName val="이체비용포함"/>
      <sheetName val="PNL_ASS'Y_CRASH_PAD_UPR_RH"/>
      <sheetName val="Input Page"/>
      <sheetName val="Input Sheet"/>
      <sheetName val="Aug01 Status Rpt"/>
      <sheetName val="현금및현금등가물"/>
      <sheetName val="Base Info"/>
      <sheetName val="ISSUE LIST"/>
      <sheetName val="자료"/>
      <sheetName val="Assumption"/>
      <sheetName val="직원명부"/>
      <sheetName val="ALVXXL01"/>
      <sheetName val="철심금중량"/>
      <sheetName val="PC%계산DWMC"/>
      <sheetName val="구매내역"/>
      <sheetName val="생산실적db"/>
      <sheetName val="데이터"/>
      <sheetName val="비교원RD-S"/>
      <sheetName val="철판2"/>
      <sheetName val="년도별"/>
      <sheetName val="수출가격"/>
      <sheetName val="원가계산서양식"/>
      <sheetName val="TA10"/>
      <sheetName val="미익SUB"/>
      <sheetName val="97입고현황(사내)"/>
      <sheetName val="97출고현황(SEC)"/>
      <sheetName val="97출고현황(매출분)"/>
      <sheetName val="BUS"/>
      <sheetName val="LOAIXE"/>
      <sheetName val="Nguon PT xetai"/>
      <sheetName val="NGUON"/>
      <sheetName val="Nguon PT xe Ben"/>
      <sheetName val="Bien s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첨부3"/>
      <sheetName val="3M000"/>
      <sheetName val="물량표"/>
      <sheetName val="10년01월부터"/>
      <sheetName val="예적금"/>
      <sheetName val="세무서코드"/>
      <sheetName val="D300726_1"/>
      <sheetName val="3월판매예상_2주차"/>
      <sheetName val="_0602주-무결점운동 진행현황 보고 (20140610)"/>
      <sheetName val="기본정보"/>
      <sheetName val="업무분장 "/>
      <sheetName val="FELT"/>
      <sheetName val="내년"/>
      <sheetName val="DV Flow Chart DV-PV1 (PFC)"/>
      <sheetName val="소결재공"/>
      <sheetName val="연습"/>
      <sheetName val="업체별매출실적"/>
      <sheetName val="초기화면"/>
      <sheetName val="제품정보"/>
      <sheetName val="근태일지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사업소득자세수추계"/>
      <sheetName val="WS"/>
      <sheetName val="DATA(1-8)"/>
      <sheetName val="1부생산계획"/>
      <sheetName val="업체별"/>
      <sheetName val="이자수입"/>
      <sheetName val="사외외주매출"/>
      <sheetName val="20일시험전표지"/>
      <sheetName val="FRONT"/>
      <sheetName val="REAR "/>
      <sheetName val="FR저항Cp"/>
      <sheetName val="abs dac검사대비분석자료2"/>
      <sheetName val="RFQ Form"/>
      <sheetName val="00년거래처별실적"/>
      <sheetName val="재고품목"/>
      <sheetName val="CPK_CHART"/>
      <sheetName val="기간별품목별불량유형집계"/>
      <sheetName val="96원가"/>
      <sheetName val="SPEC1"/>
      <sheetName val="4.Vendor price"/>
      <sheetName val="14년 증판안 판촉"/>
      <sheetName val="14,15,16"/>
      <sheetName val="3사분기"/>
      <sheetName val="RSDB"/>
      <sheetName val="WSDB"/>
      <sheetName val="Europe PU-1"/>
      <sheetName val="MM利益・原価企画方針書ｶｸ１"/>
      <sheetName val="PMBG12LD 장비및인원소요(D.A기준) "/>
      <sheetName val="basic_info"/>
      <sheetName val="10매출"/>
      <sheetName val="은행"/>
      <sheetName val="TEMP2"/>
      <sheetName val="PIVOT"/>
      <sheetName val="표준(재질단가,조형단가)"/>
      <sheetName val="표준(중자)"/>
      <sheetName val="기본데이타"/>
      <sheetName val="2WD(KJ5G0662)"/>
      <sheetName val="MAT_N048"/>
      <sheetName val="구분목록"/>
      <sheetName val="사원관리"/>
      <sheetName val="조정"/>
      <sheetName val="NEW TOOL MASTER"/>
      <sheetName val="stockmonthlylist(stock_20190828"/>
      <sheetName val="DWPM분석시트"/>
      <sheetName val="매출(총액)"/>
      <sheetName val="판관비"/>
      <sheetName val="3-2002년 소모공구비"/>
      <sheetName val="数据库不可删除"/>
      <sheetName val="담당"/>
      <sheetName val="작동logic"/>
      <sheetName val="WE'T"/>
      <sheetName val="BREAKDOWN(철거설치)"/>
      <sheetName val="6월"/>
      <sheetName val="1.TAT_Info."/>
      <sheetName val="STD_DEVCHARTadd"/>
      <sheetName val="재품명"/>
      <sheetName val="불량명"/>
      <sheetName val="효과금액비교"/>
      <sheetName val="1.TP조립"/>
      <sheetName val="기타 부자재"/>
      <sheetName val="분리막"/>
      <sheetName val="전해액"/>
      <sheetName val="Appendix_TT"/>
      <sheetName val="99원가원판"/>
      <sheetName val="CAPA분석 360K"/>
      <sheetName val="PPS2"/>
      <sheetName val="材料"/>
      <sheetName val="SPA원가"/>
      <sheetName val="인건비"/>
      <sheetName val="종합BDATA"/>
      <sheetName val="적하보험"/>
      <sheetName val="옹벽1"/>
      <sheetName val="영업.일1"/>
      <sheetName val="품-(주)코①"/>
      <sheetName val="적용수량"/>
      <sheetName val="자재소요"/>
      <sheetName val="판매계획"/>
      <sheetName val="Y3-LIST"/>
      <sheetName val="(2)월생산현황 "/>
      <sheetName val="4.20)통계적기법관리절차서"/>
      <sheetName val="주E957㲆"/>
      <sheetName val="주E957㲆"/>
      <sheetName val="설비LIS_x0000_"/>
      <sheetName val="설비LIS_x0001_"/>
      <sheetName val="설비LIS"/>
      <sheetName val="개발원가 종합"/>
      <sheetName val="Raw_data"/>
      <sheetName val="기준정보"/>
      <sheetName val="SOURCE"/>
      <sheetName val="공수"/>
      <sheetName val="SALE분석"/>
      <sheetName val="#93"/>
      <sheetName val="PFMEA.XLS"/>
      <sheetName val="File_Table"/>
      <sheetName val="Cpk3"/>
      <sheetName val="Config"/>
      <sheetName val="체재비"/>
      <sheetName val="월간단가"/>
      <sheetName val="Sheet"/>
      <sheetName val="5업체"/>
      <sheetName val="갑지"/>
      <sheetName val="１１月"/>
      <sheetName val="MS.SPEC"/>
      <sheetName val="3. 관리점지수실적-1.1생산성"/>
      <sheetName val="1-1-1-2"/>
      <sheetName val="Sheet10"/>
      <sheetName val="을"/>
      <sheetName val="초등학교내역서"/>
      <sheetName val="첨부⑥"/>
      <sheetName val="최신"/>
      <sheetName val="97계획(96.11"/>
      <sheetName val="ERP도입후 시정현황"/>
      <sheetName val="Summary"/>
      <sheetName val="21444-41900"/>
      <sheetName val="원가절감"/>
      <sheetName val="별도관리"/>
      <sheetName val="FO원단위"/>
      <sheetName val="02년 SUC"/>
      <sheetName val="기준코드"/>
      <sheetName val="원단위 전후비교"/>
      <sheetName val="EF-SONATA"/>
      <sheetName val="PAKAGE4362"/>
      <sheetName val="해외생산"/>
      <sheetName val="재공품기초자료"/>
      <sheetName val="3620SE"/>
      <sheetName val="실적(Q11)"/>
      <sheetName val="예산(Q11)"/>
      <sheetName val="자가2급"/>
      <sheetName val="Bosch ADVP&amp;R"/>
      <sheetName val="SFM-TTL"/>
      <sheetName val="수h"/>
      <sheetName val="Purchasing Data"/>
      <sheetName val="현장"/>
      <sheetName val="실적 및 계획"/>
      <sheetName val="LL"/>
      <sheetName val="한성화물"/>
      <sheetName val="내역"/>
      <sheetName val="Sheet16"/>
      <sheetName val="TRANSLAT"/>
      <sheetName val="종목코드"/>
      <sheetName val="MexiqueVentes97"/>
      <sheetName val="Sec 1 - RFQ"/>
      <sheetName val="임시12월"/>
      <sheetName val="C100"/>
      <sheetName val="INDEX"/>
      <sheetName val="공용라이온-2"/>
      <sheetName val="BACK_DATA_08_7_1~2"/>
      <sheetName val="E_W2"/>
      <sheetName val="P_W2"/>
      <sheetName val="S_W2"/>
      <sheetName val="1ဲ_ALT2"/>
      <sheetName val="1ဳ_O_S2"/>
      <sheetName val="15_၄AMPER2"/>
      <sheetName val="GB-IC_Villingen_GG2"/>
      <sheetName val="BACK_DATA2"/>
      <sheetName val="OPT손익_내수2"/>
      <sheetName val="OPT손익_수출2"/>
      <sheetName val="二_POSITION_XLS2"/>
      <sheetName val="126_2551"/>
      <sheetName val="14_1부1"/>
      <sheetName val="CASE_ASM1"/>
      <sheetName val="매출종합_`091"/>
      <sheetName val="소상_&quot;1&quot;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Nego_PV1"/>
      <sheetName val="팀별_합계1"/>
      <sheetName val="설비능력및_종합공정능력산출시_사용1"/>
      <sheetName val="LAMBDA_자작1"/>
      <sheetName val="ALPROFILE_발주실적"/>
      <sheetName val="X-3_ENG"/>
      <sheetName val="Sheet1_(2)"/>
      <sheetName val="Sch7a_(토요일)"/>
      <sheetName val="Sheet6_(3)"/>
      <sheetName val="GLOBAL_PT_NEW_FORMAT_OCT_2002"/>
      <sheetName val="대외공문_"/>
      <sheetName val="공정별공법-W.HSE-LH"/>
      <sheetName val="Drop-down Lists"/>
      <sheetName val="조서목차"/>
      <sheetName val="가격품의"/>
      <sheetName val="월매출"/>
      <sheetName val="RELAY FAX양식"/>
      <sheetName val="INVESTMENT_(Hardware)"/>
      <sheetName val="COKBOM"/>
      <sheetName val="2008 г"/>
      <sheetName val="상세 견적서 (HMC)"/>
      <sheetName val="거래처"/>
      <sheetName val="EurotoolsXRates"/>
      <sheetName val="도표"/>
      <sheetName val="2.중요한회계정책"/>
      <sheetName val="9.관계기업투자"/>
      <sheetName val="42.리스"/>
      <sheetName val="25.법인세"/>
      <sheetName val="ﾀｰﾋﾞﾝﾃﾞｰﾀ"/>
      <sheetName val="YOEMAGUM"/>
      <sheetName val="M96현황-동아"/>
      <sheetName val="PILOT품"/>
      <sheetName val="금형품의서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STEEL95"/>
      <sheetName val="분기별데이타"/>
      <sheetName val="월별데이타"/>
      <sheetName val="HSA"/>
      <sheetName val="TEL"/>
      <sheetName val="incetive"/>
      <sheetName val="99예산"/>
      <sheetName val="Proj List 00E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전산DATA"/>
      <sheetName val="종합현황"/>
      <sheetName val="생산(전장입력)-1"/>
      <sheetName val="GLOBAL PT NEW FORMAT JULY  2002"/>
      <sheetName val="인원부하"/>
      <sheetName val="B053 (990701)공정능력PC%계산"/>
      <sheetName val="2012 Volum"/>
      <sheetName val="PARAMETRES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CFLOW"/>
      <sheetName val="SP"/>
      <sheetName val="재(실)"/>
      <sheetName val="분류"/>
      <sheetName val="계실5-1"/>
      <sheetName val="예금미수이자(6월)"/>
      <sheetName val="Supplier QRQC"/>
      <sheetName val="발주서"/>
      <sheetName val="외관검사"/>
      <sheetName val="N719(NC)"/>
      <sheetName val="094_APP別"/>
      <sheetName val="PPK(공정능력조사표)"/>
      <sheetName val="공정능력평가-2"/>
      <sheetName val="공정능력평가-3"/>
      <sheetName val="DIEZEL動弁相場"/>
      <sheetName val="기본정보입력"/>
      <sheetName val="세부자료"/>
      <sheetName val="투입공수계획"/>
      <sheetName val="월간생산계획"/>
      <sheetName val="참조코드현황"/>
      <sheetName val="투자예산"/>
      <sheetName val="MethodC"/>
      <sheetName val="업무담당"/>
      <sheetName val="첨부2"/>
      <sheetName val="기안지"/>
      <sheetName val="应收帐款"/>
      <sheetName val="대지급(한미)"/>
      <sheetName val="전장품(관리용)"/>
      <sheetName val="2선재"/>
      <sheetName val="GM Master"/>
      <sheetName val="4.3 첨부1"/>
      <sheetName val="검사협정 보충"/>
      <sheetName val="효성"/>
      <sheetName val="pri"/>
      <sheetName val="외주업체"/>
      <sheetName val="5_세운W-A2"/>
      <sheetName val="PRESS_DATA1"/>
      <sheetName val="X-3_ENG1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ဲ_ALT3"/>
      <sheetName val="1ဳ_O_S3"/>
      <sheetName val="15_၄AMPER3"/>
      <sheetName val="GB-IC_Villingen_GG3"/>
      <sheetName val="BACK_DATA_08_7_1~3"/>
      <sheetName val="E_W3"/>
      <sheetName val="P_W3"/>
      <sheetName val="S_W3"/>
      <sheetName val="二_POSITION_XLS3"/>
      <sheetName val="OPT손익_내수3"/>
      <sheetName val="OPT손익_수출3"/>
      <sheetName val="BACK_DATA3"/>
      <sheetName val="외주현황_wq13"/>
      <sheetName val="2_대외공문3"/>
      <sheetName val="TEMP_TORQUE2"/>
      <sheetName val="5_세운W-A3"/>
      <sheetName val="126_2552"/>
      <sheetName val="B053_(990701)공정실적PP%계산2"/>
      <sheetName val="CASE_ASM2"/>
      <sheetName val="14_1부2"/>
      <sheetName val="1_변경범위2"/>
      <sheetName val="JT3_0견적-구12"/>
      <sheetName val="PRESS_DATA2"/>
      <sheetName val="SUB_2월_재검사추이도2"/>
      <sheetName val="c_db2"/>
      <sheetName val="설비능력및_종합공정능력산출시_사용2"/>
      <sheetName val="소상_&quot;1&quot;2"/>
      <sheetName val="팀별_합계2"/>
      <sheetName val="운임_환차손-Y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변제"/>
      <sheetName val="参照条件"/>
      <sheetName val="진급관련DATA"/>
      <sheetName val="제품명 (3)"/>
      <sheetName val="6 N.m CCW 전류"/>
      <sheetName val="99정부과제종합"/>
      <sheetName val="Data입력"/>
      <sheetName val="과제"/>
      <sheetName val="금관"/>
      <sheetName val="백화"/>
      <sheetName val="분석DATA(년도별)"/>
      <sheetName val="09년 현황"/>
      <sheetName val="CNC810M"/>
      <sheetName val="원가절감종합"/>
      <sheetName val="WTC BODY一覧原紙"/>
      <sheetName val="국고채권3-5"/>
      <sheetName val="가동일보"/>
      <sheetName val="5사남"/>
      <sheetName val="퇴충수정"/>
      <sheetName val="판매수량"/>
      <sheetName val="pl2k12"/>
      <sheetName val="DOM-競合車SPEC"/>
      <sheetName val="销售计划"/>
      <sheetName val="Headcount"/>
      <sheetName val="Sales_LT"/>
      <sheetName val="출입자명단"/>
      <sheetName val="ｴｱﾃﾞｨｽｸ"/>
      <sheetName val="평가표"/>
      <sheetName val="FMEAPRO3"/>
      <sheetName val="Sheet6"/>
      <sheetName val="생산2부(COL'M,U_J)"/>
      <sheetName val="BOM"/>
      <sheetName val="산업판매입력"/>
      <sheetName val="3.PT개발계획"/>
      <sheetName val="예정임율"/>
      <sheetName val="10월11일"/>
      <sheetName val="설계명세"/>
      <sheetName val="INJ_FRT"/>
      <sheetName val="내수1_8GL1"/>
      <sheetName val="외주품_감점_유형_기준"/>
      <sheetName val="PRO_(참조)"/>
      <sheetName val="Master_Cable"/>
      <sheetName val="CAPA분석_360K"/>
      <sheetName val="실적_및_계획"/>
      <sheetName val="공정능력_(2)"/>
      <sheetName val="3__관리점지수실적-1_1생산성"/>
      <sheetName val="Sec_1_-_RFQ"/>
      <sheetName val="02년_SUC"/>
      <sheetName val="Rate_data"/>
      <sheetName val="원단위_전후비교"/>
      <sheetName val="Bosch_ADVP&amp;R"/>
      <sheetName val="_SR3차원단위_(3)"/>
      <sheetName val="공정별공법-W_HSE-LH"/>
      <sheetName val="73711"/>
      <sheetName val="인도원가"/>
      <sheetName val="첨부#1(SRC)"/>
      <sheetName val="구매사양"/>
      <sheetName val="Basic"/>
      <sheetName val="1.기안을지"/>
      <sheetName val="비가동-20"/>
      <sheetName val="Sales"/>
      <sheetName val="c.db1"/>
      <sheetName val="영업용가격대"/>
      <sheetName val="생산일보"/>
      <sheetName val="품목테이블"/>
      <sheetName val="1st"/>
      <sheetName val="원가기초정보"/>
      <sheetName val="산정표"/>
      <sheetName val="JUNY"/>
      <sheetName val="생산_P"/>
      <sheetName val="Graph"/>
      <sheetName val="영업인계"/>
      <sheetName val="재공재고"/>
      <sheetName val="포장현황"/>
      <sheetName val="工程信息"/>
      <sheetName val="ref"/>
      <sheetName val="초기공정능력"/>
      <sheetName val="본사-출장소구분"/>
      <sheetName val="불량코드"/>
      <sheetName val="MC%계산"/>
      <sheetName val="※목록"/>
      <sheetName val="BI-FUEL AIR VENT PIPE"/>
      <sheetName val="매입자료1"/>
      <sheetName val="Actual In &amp; Out"/>
      <sheetName val="차액보증"/>
      <sheetName val="1.종합평가표"/>
      <sheetName val="RFQ 1804"/>
      <sheetName val="운영"/>
      <sheetName val="DS_MBR RR Side  - PcA"/>
      <sheetName val="SRC(현재)"/>
      <sheetName val="차체부품_INS_REPORT(갑)3"/>
      <sheetName val="FUEL_FILLER3"/>
      <sheetName val="진행_DATA_(2)3"/>
      <sheetName val="5_WIRE적용LIST3"/>
      <sheetName val="_납촉자3"/>
      <sheetName val="3_일반사상3"/>
      <sheetName val="금형_(2)2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SUB_2월_재검사추이도3"/>
      <sheetName val="JT3_0견적-구13"/>
      <sheetName val="c_db3"/>
      <sheetName val="금형_(2)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1_2내수2"/>
      <sheetName val="J150_승인진도관리_LIST2"/>
      <sheetName val="TOTAL_LIST2"/>
      <sheetName val="Price_Range2"/>
      <sheetName val="FTR_MACRo2"/>
      <sheetName val="협력사_일반현황2"/>
      <sheetName val="0_절삭조건2"/>
      <sheetName val="상세_계산_내역2"/>
      <sheetName val="MPL_技連2"/>
      <sheetName val="342E_BLOCK2"/>
      <sheetName val="1-1_General_Code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J150_승인진도관리_LIST1"/>
      <sheetName val="TOTAL_LIST1"/>
      <sheetName val="Price_Range1"/>
      <sheetName val="FTR_MACRo1"/>
      <sheetName val="상세_계산_내역1"/>
      <sheetName val="지점분석00"/>
      <sheetName val="Dual PMP수율"/>
      <sheetName val="시설이용권명세서"/>
      <sheetName val="특정현금과예금"/>
      <sheetName val="출금계획"/>
      <sheetName val="业体目录"/>
      <sheetName val="현장관리비"/>
      <sheetName val="LJM"/>
      <sheetName val="Full PBD"/>
      <sheetName val="첨부13. 사출(PAD)_카메라"/>
      <sheetName val="1.세부비교_x001b_"/>
      <sheetName val="설비LIS"/>
      <sheetName val="Danh sach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CONSUMO DE RESINA "/>
      <sheetName val="드롭다운"/>
      <sheetName val="업체데이터"/>
      <sheetName val="Tool Type"/>
      <sheetName val="LCAUTO.4"/>
      <sheetName val="LCAT수.조"/>
      <sheetName val="1단가변동"/>
      <sheetName val="日程"/>
      <sheetName val="進め方"/>
      <sheetName val="報告書表紙"/>
      <sheetName val="월별수입"/>
      <sheetName val=" Common Info Page"/>
      <sheetName val="XL4Poppy"/>
      <sheetName val="AQL(0.65)"/>
      <sheetName val="접촉온도"/>
      <sheetName val="_x005f_x0000__x005f_x0000__x005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NET면적"/>
      <sheetName val="2009년 매출 실적"/>
      <sheetName val="JINKYU"/>
      <sheetName val="OCT"/>
      <sheetName val="(9차)(본드합포)"/>
      <sheetName val="(9차)(화염양면라미)"/>
      <sheetName val="_1"/>
      <sheetName val="2-1_제품군별계획대비실적(B_A)"/>
      <sheetName val="공정능력(마운틴_홀_거리)"/>
      <sheetName val="Summary_Sheet"/>
      <sheetName val="Datasheet_for_KPI_Model_1"/>
      <sheetName val="OEM_이의제기_종합"/>
      <sheetName val="S50_"/>
      <sheetName val="양식(주)"/>
      <sheetName val="PQ분석2"/>
      <sheetName val="PQ분석3"/>
      <sheetName val="PQ분석1"/>
      <sheetName val="투자승인절차"/>
      <sheetName val="광주"/>
      <sheetName val="Bas Moteur"/>
      <sheetName val="Hab2"/>
      <sheetName val="Hab1"/>
      <sheetName val="신1"/>
      <sheetName val="DV_Flow_Chart_DV-PV1_(PFC)"/>
      <sheetName val="Cost_Reduction1"/>
      <sheetName val="2008_г"/>
      <sheetName val="Sheet6_(3)1"/>
      <sheetName val="신고서_전"/>
      <sheetName val="영업_일1"/>
      <sheetName val="임율"/>
      <sheetName val="13년임율"/>
      <sheetName val="사정표"/>
      <sheetName val="구list"/>
      <sheetName val="단가2"/>
      <sheetName val="Burnish"/>
      <sheetName val="기타"/>
      <sheetName val="재질표"/>
      <sheetName val="고객불만 건"/>
      <sheetName val="내부품질감사절차서"/>
      <sheetName val="일보_생산"/>
      <sheetName val="2차 OI_x0010__x0000__xda10_࠱"/>
      <sheetName val="2차 OI_x0000__x0000_젘_x0000_"/>
      <sheetName val="2차 OI䑲⿀_x0000__x0000_"/>
      <sheetName val="공문송부업체"/>
      <sheetName val="기준DATA"/>
      <sheetName val="2차 OI_x0010_"/>
      <sheetName val="2차 OI"/>
      <sheetName val="2차 OI䑲⿀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승용"/>
      <sheetName val="부재료"/>
      <sheetName val="Interco &amp; PVS Loc Cur"/>
      <sheetName val="자체실적Y"/>
      <sheetName val="와이어"/>
      <sheetName val="전사"/>
      <sheetName val="TL PROTO 2열"/>
      <sheetName val="10-1소요"/>
      <sheetName val="목표세부명세"/>
      <sheetName val="Validation Lists"/>
      <sheetName val="참고"/>
      <sheetName val="CR금액"/>
      <sheetName val="OEM Plan"/>
      <sheetName val="SO416"/>
      <sheetName val="5호기_Query"/>
      <sheetName val="사업경"/>
      <sheetName val="공정능력"/>
      <sheetName val="구분자료"/>
      <sheetName val="PS SIDE OTR INR 공정개선 상세"/>
      <sheetName val="노동부"/>
      <sheetName val="PROFILE"/>
      <sheetName val="콤비품의-3"/>
      <sheetName val="BOX ASSY"/>
      <sheetName val="After sales"/>
      <sheetName val="CAR Form Summary"/>
      <sheetName val="첨부4.기술평가서"/>
      <sheetName val="LOCKUP"/>
      <sheetName val="54813M2001"/>
      <sheetName val="Personnaliser..."/>
      <sheetName val="Takt Time"/>
      <sheetName val="기계(1998~2003년)작업본"/>
      <sheetName val="기계(2004년)작업본"/>
      <sheetName val="입력laser"/>
      <sheetName val="25414-B2060"/>
      <sheetName val="項目定義"/>
      <sheetName val="양식-금형"/>
      <sheetName val="1.2.2완제품검사('00.4월) (가라)"/>
      <sheetName val="cr2000분석"/>
      <sheetName val="64512(갑)"/>
      <sheetName val="경영재무 (입력)"/>
      <sheetName val="연구개발 (입력)"/>
      <sheetName val="일반현황 (입력)"/>
      <sheetName val="품질관리 (입력)"/>
      <sheetName val="Data Input"/>
      <sheetName val="건축내역"/>
      <sheetName val="평가"/>
      <sheetName val="별제권_정리담보권1"/>
      <sheetName val="금형이력"/>
      <sheetName val="설계내역서"/>
      <sheetName val="종합표"/>
      <sheetName val="FO-BO-ER"/>
      <sheetName val="3.3검토국"/>
      <sheetName val="출고현황"/>
      <sheetName val="오퍼(DS)"/>
      <sheetName val="6월(DS)"/>
      <sheetName val="물량표S"/>
      <sheetName val="PAINT"/>
      <sheetName val="실행내역"/>
      <sheetName val="4월"/>
      <sheetName val="비용구조"/>
      <sheetName val="피엘"/>
      <sheetName val="Issues List"/>
      <sheetName val="LINE PPM-분석"/>
      <sheetName val="수불부"/>
      <sheetName val="Actual data"/>
      <sheetName val="불량건수"/>
      <sheetName val="외주집계"/>
      <sheetName val="배부기준"/>
      <sheetName val="원가 종합"/>
      <sheetName val="SM672-001(A)"/>
      <sheetName val="3)재료비"/>
      <sheetName val="CPk원본"/>
      <sheetName val="GYOKAK2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J2(P.MT)"/>
      <sheetName val="DS-Thuong 6T dau"/>
      <sheetName val="551"/>
      <sheetName val="집계표(VAN)"/>
      <sheetName val="TWIST"/>
      <sheetName val="PFMEA_XLS"/>
      <sheetName val="RELAY_FAX양식"/>
      <sheetName val="상세_견적서_(HMC)"/>
      <sheetName val="INVESTMENT_(Hardware)1"/>
      <sheetName val="2_중요한회계정책"/>
      <sheetName val="9_관계기업투자"/>
      <sheetName val="42_리스"/>
      <sheetName val="25_법인세"/>
      <sheetName val="_PPAP_작성중__xlsx"/>
      <sheetName val="Proj_List_00E"/>
      <sheetName val="DBL_LPG시험"/>
      <sheetName val="1_2내수3"/>
      <sheetName val="Cost_Reduction2"/>
      <sheetName val="PFMEA_XLS1"/>
      <sheetName val="신고서_전1"/>
      <sheetName val="Basic_assumptions1"/>
      <sheetName val="공장코드"/>
      <sheetName val="거래선"/>
      <sheetName val="완성차물량"/>
      <sheetName val="Part_no"/>
      <sheetName val="OP12037"/>
      <sheetName val="PL"/>
      <sheetName val="CHI TIẾT"/>
      <sheetName val="신청현황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라이온2"/>
      <sheetName val="공통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 refreshError="1"/>
      <sheetData sheetId="760" refreshError="1"/>
      <sheetData sheetId="761"/>
      <sheetData sheetId="762"/>
      <sheetData sheetId="763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/>
      <sheetData sheetId="1354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/>
      <sheetData sheetId="1656" refreshError="1"/>
      <sheetData sheetId="1657" refreshError="1"/>
      <sheetData sheetId="1658" refreshError="1"/>
      <sheetData sheetId="1659"/>
      <sheetData sheetId="1660"/>
      <sheetData sheetId="1661"/>
      <sheetData sheetId="1662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>
        <row r="73">
          <cell r="E73">
            <v>-1978066.1999669024</v>
          </cell>
        </row>
      </sheetData>
      <sheetData sheetId="2065">
        <row r="73">
          <cell r="E73">
            <v>-1978066.1999669024</v>
          </cell>
        </row>
      </sheetData>
      <sheetData sheetId="2066">
        <row r="73">
          <cell r="E73">
            <v>-1978066.1999669024</v>
          </cell>
        </row>
      </sheetData>
      <sheetData sheetId="2067">
        <row r="73">
          <cell r="E73">
            <v>-1978066.1999669024</v>
          </cell>
        </row>
      </sheetData>
      <sheetData sheetId="2068">
        <row r="73">
          <cell r="E73">
            <v>-1978066.1999669024</v>
          </cell>
        </row>
      </sheetData>
      <sheetData sheetId="2069">
        <row r="73">
          <cell r="E73">
            <v>-1978066.1999669024</v>
          </cell>
        </row>
      </sheetData>
      <sheetData sheetId="2070">
        <row r="73">
          <cell r="E73">
            <v>-1978066.1999669024</v>
          </cell>
        </row>
      </sheetData>
      <sheetData sheetId="2071">
        <row r="73">
          <cell r="E73">
            <v>-1978066.1999669024</v>
          </cell>
        </row>
      </sheetData>
      <sheetData sheetId="2072">
        <row r="73">
          <cell r="E73">
            <v>-1978066.1999669024</v>
          </cell>
        </row>
      </sheetData>
      <sheetData sheetId="2073">
        <row r="73">
          <cell r="E73">
            <v>-1978066.1999669024</v>
          </cell>
        </row>
      </sheetData>
      <sheetData sheetId="2074">
        <row r="73">
          <cell r="E73">
            <v>-1978066.1999669024</v>
          </cell>
        </row>
      </sheetData>
      <sheetData sheetId="2075">
        <row r="73">
          <cell r="E73">
            <v>-1978066.1999669024</v>
          </cell>
        </row>
      </sheetData>
      <sheetData sheetId="2076">
        <row r="73">
          <cell r="E73">
            <v>-1978066.1999669024</v>
          </cell>
        </row>
      </sheetData>
      <sheetData sheetId="2077">
        <row r="73">
          <cell r="E73">
            <v>-1978066.1999669024</v>
          </cell>
        </row>
      </sheetData>
      <sheetData sheetId="2078">
        <row r="73">
          <cell r="E73">
            <v>-1978066.1999669024</v>
          </cell>
        </row>
      </sheetData>
      <sheetData sheetId="2079">
        <row r="73">
          <cell r="E73">
            <v>-1978066.1999669024</v>
          </cell>
        </row>
      </sheetData>
      <sheetData sheetId="2080">
        <row r="73">
          <cell r="E73">
            <v>-1978066.1999669024</v>
          </cell>
        </row>
      </sheetData>
      <sheetData sheetId="2081">
        <row r="73">
          <cell r="E73">
            <v>-1978066.1999669024</v>
          </cell>
        </row>
      </sheetData>
      <sheetData sheetId="2082">
        <row r="73">
          <cell r="E73">
            <v>-1978066.1999669024</v>
          </cell>
        </row>
      </sheetData>
      <sheetData sheetId="2083">
        <row r="73">
          <cell r="E73">
            <v>-1978066.1999669024</v>
          </cell>
        </row>
      </sheetData>
      <sheetData sheetId="2084">
        <row r="73">
          <cell r="E73">
            <v>-1978066.1999669024</v>
          </cell>
        </row>
      </sheetData>
      <sheetData sheetId="2085">
        <row r="73">
          <cell r="E73">
            <v>-1978066.1999669024</v>
          </cell>
        </row>
      </sheetData>
      <sheetData sheetId="2086">
        <row r="73">
          <cell r="E73">
            <v>-1978066.1999669024</v>
          </cell>
        </row>
      </sheetData>
      <sheetData sheetId="2087">
        <row r="73">
          <cell r="E73">
            <v>-1978066.1999669024</v>
          </cell>
        </row>
      </sheetData>
      <sheetData sheetId="2088">
        <row r="73">
          <cell r="E73">
            <v>-1978066.1999669024</v>
          </cell>
        </row>
      </sheetData>
      <sheetData sheetId="2089">
        <row r="73">
          <cell r="E73">
            <v>-1978066.1999669024</v>
          </cell>
        </row>
      </sheetData>
      <sheetData sheetId="2090">
        <row r="73">
          <cell r="E73">
            <v>-1978066.1999669024</v>
          </cell>
        </row>
      </sheetData>
      <sheetData sheetId="2091">
        <row r="73">
          <cell r="E73">
            <v>-1978066.1999669024</v>
          </cell>
        </row>
      </sheetData>
      <sheetData sheetId="2092">
        <row r="73">
          <cell r="E73">
            <v>-1978066.1999669024</v>
          </cell>
        </row>
      </sheetData>
      <sheetData sheetId="2093">
        <row r="73">
          <cell r="E73">
            <v>-1978066.1999669024</v>
          </cell>
        </row>
      </sheetData>
      <sheetData sheetId="2094">
        <row r="73">
          <cell r="E73">
            <v>-1978066.1999669024</v>
          </cell>
        </row>
      </sheetData>
      <sheetData sheetId="2095">
        <row r="73">
          <cell r="E73">
            <v>-1978066.1999669024</v>
          </cell>
        </row>
      </sheetData>
      <sheetData sheetId="2096">
        <row r="73">
          <cell r="E73">
            <v>-1978066.1999669024</v>
          </cell>
        </row>
      </sheetData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/>
      <sheetData sheetId="2222"/>
      <sheetData sheetId="2223"/>
      <sheetData sheetId="2224"/>
      <sheetData sheetId="2225"/>
      <sheetData sheetId="2226"/>
      <sheetData sheetId="2227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/>
      <sheetData sheetId="2239"/>
      <sheetData sheetId="2240"/>
      <sheetData sheetId="2241"/>
      <sheetData sheetId="2242"/>
      <sheetData sheetId="2243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JT3.0견적-구1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List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Input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주행"/>
      <sheetName val="내부결재용"/>
      <sheetName val="p2-1"/>
      <sheetName val="1ဲ.ALT"/>
      <sheetName val="1ဳ.O.S"/>
      <sheetName val="15.၄AMPER"/>
      <sheetName val="96"/>
      <sheetName val="협조전"/>
      <sheetName val="626TD"/>
      <sheetName val="FMEAPRO5"/>
      <sheetName val="GB-IC Villingen GG"/>
      <sheetName val="BACK DATA 08.7.1~"/>
      <sheetName val="E.W"/>
      <sheetName val="P.W"/>
      <sheetName val="가공비data"/>
      <sheetName val="S.W"/>
      <sheetName val="BACK DATA"/>
      <sheetName val="KMCWD"/>
      <sheetName val="OPT손익 내수"/>
      <sheetName val="OPT손익 수출"/>
      <sheetName val="Sheet4"/>
      <sheetName val="二.POSITION.XLS"/>
      <sheetName val="반송불량율"/>
      <sheetName val="10월작업불량"/>
      <sheetName val=""/>
      <sheetName val="#REF"/>
      <sheetName val="불량현황"/>
      <sheetName val="재료(확정,11월19일)"/>
      <sheetName val="MH_생산"/>
      <sheetName val="손익"/>
      <sheetName val="일자별"/>
      <sheetName val="●일일실적"/>
      <sheetName val="자산LIST"/>
      <sheetName val="BM_NEW2"/>
      <sheetName val="점유면적"/>
      <sheetName val="정리"/>
      <sheetName val="기초자료"/>
      <sheetName val="PRDW30"/>
      <sheetName val="VT원단위"/>
      <sheetName val="기초"/>
      <sheetName val="KD율"/>
      <sheetName val="GRACE"/>
      <sheetName val="시설업체주소록"/>
      <sheetName val="64164"/>
      <sheetName val="외주현황.wq1"/>
      <sheetName val="PP%계산"/>
      <sheetName val="2.대외공문"/>
      <sheetName val="현금경비중역"/>
      <sheetName val="HOUSING"/>
      <sheetName val="TEMP TORQUE"/>
      <sheetName val="1"/>
      <sheetName val="진행 DATA (2)"/>
      <sheetName val="MBNBSMTR"/>
      <sheetName val="5.세운W-A"/>
      <sheetName val="항목(1)"/>
      <sheetName val="출력값"/>
      <sheetName val="engline"/>
      <sheetName val="동아합의"/>
      <sheetName val="WEIGHT"/>
      <sheetName val="95계획"/>
      <sheetName val="카메라"/>
      <sheetName val="Sheet1"/>
      <sheetName val="126.255"/>
      <sheetName val="B053 (990701)공정실적PP%계산"/>
      <sheetName val="RHN"/>
      <sheetName val="TOTAL"/>
      <sheetName val="기초DATA"/>
      <sheetName val="RESN_SUM"/>
      <sheetName val="Actions"/>
      <sheetName val="상용"/>
      <sheetName val="건축공사"/>
      <sheetName val="14.1부"/>
      <sheetName val="BL제조표준"/>
      <sheetName val="CASE ASM"/>
      <sheetName val="공정능력외경"/>
      <sheetName val="Tbom-tot"/>
      <sheetName val="수리결과"/>
      <sheetName val="Sheet2"/>
      <sheetName val="SUB 2월 재검사추이도"/>
      <sheetName val="A-100전제"/>
      <sheetName val="Pc1%계산"/>
      <sheetName val="CIELO발주"/>
      <sheetName val="세부"/>
      <sheetName val="법인+비법인"/>
      <sheetName val="LANOS"/>
      <sheetName val="LEGANZA"/>
      <sheetName val="NUBIRA"/>
      <sheetName val="팀별 합계"/>
      <sheetName val="생산1-1"/>
      <sheetName val="SPEC별"/>
      <sheetName val="일본출1"/>
      <sheetName val="삼공기계"/>
      <sheetName val="화환비상"/>
      <sheetName val="1.변경범위"/>
      <sheetName val="12"/>
      <sheetName val="개발 TOOL 집계표"/>
      <sheetName val="경상 개발비"/>
      <sheetName val="96갑지"/>
      <sheetName val="code"/>
      <sheetName val="C100보고서"/>
      <sheetName val="설비능력및 종합공정능력산출시 사용"/>
      <sheetName val="Data1"/>
      <sheetName val="0000"/>
      <sheetName val="차수"/>
      <sheetName val="직원신상"/>
      <sheetName val="12-30"/>
      <sheetName val="CD-실적"/>
      <sheetName val="LX3.0 RR"/>
      <sheetName val="BACK_DATA_08_7_1~"/>
      <sheetName val="E_W"/>
      <sheetName val="P_W"/>
      <sheetName val="S_W"/>
      <sheetName val="GB-IC_Villingen_GG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외주현황_wq1"/>
      <sheetName val="Claim이력_내수내자"/>
      <sheetName val="T진도"/>
      <sheetName val="5.WIRE적용LIST"/>
      <sheetName val="매출종합.`09"/>
      <sheetName val="부문손익"/>
      <sheetName val="수입"/>
      <sheetName val="계산정보"/>
      <sheetName val="AN43"/>
      <sheetName val="구동"/>
      <sheetName val="생계99ST"/>
      <sheetName val="HCCE01"/>
      <sheetName val="c.db"/>
      <sheetName val="(BS,CF)-BACK"/>
      <sheetName val="N46"/>
      <sheetName val="TCA"/>
      <sheetName val="3.일반사상"/>
      <sheetName val="16~31"/>
      <sheetName val="MACRO1.XLM"/>
      <sheetName val="생산"/>
      <sheetName val="진도현황"/>
      <sheetName val="CLM-MP"/>
      <sheetName val="BUS제원1"/>
      <sheetName val="CALENDAR"/>
      <sheetName val="CVT산정"/>
      <sheetName val="DOOR"/>
      <sheetName val="전체현황"/>
      <sheetName val="프로젝트"/>
      <sheetName val="5-1차수정"/>
      <sheetName val="1.2내수"/>
      <sheetName val="재1"/>
      <sheetName val="95하U$가격"/>
      <sheetName val="RDLEVLST"/>
      <sheetName val="폼관조직"/>
      <sheetName val="차체"/>
      <sheetName val="부품LIST"/>
      <sheetName val="환율"/>
      <sheetName val="공정별설비검토"/>
      <sheetName val="검토사항"/>
      <sheetName val="BAU"/>
      <sheetName val="진행_DATA_(2)"/>
      <sheetName val="1_2내수"/>
      <sheetName val="2_2공정능력"/>
      <sheetName val="추이도"/>
      <sheetName val="2000 (원본)"/>
      <sheetName val="본부별팀별9911"/>
      <sheetName val="DAT(목표)"/>
      <sheetName val="LEASE4"/>
      <sheetName val="차체부품 INS REPORT(갑)"/>
      <sheetName val="본문"/>
      <sheetName val="major"/>
      <sheetName val="FUEL FILLER"/>
      <sheetName val="PC%계산"/>
      <sheetName val="SM-NEW"/>
      <sheetName val="전부인쇄"/>
      <sheetName val="day"/>
      <sheetName val="명단"/>
      <sheetName val="RD제품개발투자비(매가)"/>
      <sheetName val="Macro1"/>
      <sheetName val="2"/>
      <sheetName val="환율기준"/>
      <sheetName val="3-2.귀책부서별 DT현황"/>
      <sheetName val="초도발주서"/>
      <sheetName val="미국"/>
      <sheetName val="통합data"/>
      <sheetName val=" 납촉자"/>
      <sheetName val="업체명"/>
      <sheetName val="순위"/>
      <sheetName val="Macro2"/>
      <sheetName val="대외공문"/>
      <sheetName val="확정실적"/>
      <sheetName val="뒤차축소"/>
      <sheetName val="원본"/>
      <sheetName val="82150-39000"/>
      <sheetName val="M1master"/>
      <sheetName val="RC"/>
      <sheetName val="Open"/>
      <sheetName val="FUEL_FILLER"/>
      <sheetName val="차체부품_INS_REPORT(갑)"/>
      <sheetName val="2_대외공문"/>
      <sheetName val="5_WIRE적용LIST"/>
      <sheetName val="제품목록"/>
      <sheetName val="작성양식"/>
      <sheetName val="단중표"/>
      <sheetName val="재료율"/>
      <sheetName val="참조영역"/>
      <sheetName val="영업"/>
      <sheetName val="RHD"/>
      <sheetName val="검구사양서"/>
      <sheetName val="액슬"/>
      <sheetName val="종합"/>
      <sheetName val="프레임"/>
      <sheetName val="교육계획"/>
      <sheetName val="설비"/>
      <sheetName val="DWPM"/>
      <sheetName val="계산DATA입력"/>
      <sheetName val="EQ"/>
      <sheetName val="97"/>
      <sheetName val="품의서"/>
      <sheetName val="F4-F7"/>
      <sheetName val="업종별"/>
      <sheetName val="신규DEP"/>
      <sheetName val="투자-국내2"/>
      <sheetName val="콤보"/>
      <sheetName val="운영실적(세부)"/>
      <sheetName val="품의예산"/>
      <sheetName val="대일산업"/>
      <sheetName val="그패프"/>
      <sheetName val="_납촉자"/>
      <sheetName val="3_일반사상"/>
      <sheetName val="HP1AMLIST"/>
      <sheetName val="등속"/>
      <sheetName val="효율계획(당월)"/>
      <sheetName val="J150 승인진도관리 LIST"/>
      <sheetName val="TOTAL LIST"/>
      <sheetName val="EXP-COST"/>
      <sheetName val="지정공장"/>
      <sheetName val="서울정비"/>
      <sheetName val="data"/>
      <sheetName val="전체실적"/>
      <sheetName val="Price Range"/>
      <sheetName val="FTR MACRo"/>
      <sheetName val="BRAKE"/>
      <sheetName val="원소재인상자료"/>
      <sheetName val="56"/>
      <sheetName val="result0927"/>
      <sheetName val="대우자동차용역비"/>
      <sheetName val="일일 업무 현황 (3)"/>
      <sheetName val="일일 업무 현황 (5)"/>
      <sheetName val="3-2_귀책부서별_DT현황"/>
      <sheetName val="동명재고"/>
      <sheetName val="COST관리"/>
      <sheetName val="문서처리전"/>
      <sheetName val="간이연락"/>
      <sheetName val="PPK"/>
      <sheetName val="_x0000__x0000__x0000__x0000_ilencer"/>
      <sheetName val="가공비"/>
      <sheetName val="금형비"/>
      <sheetName val="기준입력"/>
      <sheetName val="유효"/>
      <sheetName val="생산품목"/>
      <sheetName val="실적"/>
      <sheetName val="시험연구비상각"/>
      <sheetName val="XREF"/>
      <sheetName val="득점현황"/>
      <sheetName val="0 절삭조건"/>
      <sheetName val="변속"/>
      <sheetName val="1월"/>
      <sheetName val="월별손익"/>
      <sheetName val="CPK"/>
      <sheetName val="SAM"/>
      <sheetName val="발생집계"/>
      <sheetName val="3"/>
      <sheetName val="4"/>
      <sheetName val="5"/>
      <sheetName val="6"/>
      <sheetName val="7"/>
      <sheetName val="8"/>
      <sheetName val="9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기안"/>
      <sheetName val="포머 비가동 내역"/>
      <sheetName val="5311"/>
      <sheetName val="점검시트"/>
      <sheetName val="SANTAMO"/>
      <sheetName val="2-1"/>
      <sheetName val="내역서"/>
      <sheetName val="검기갑지"/>
      <sheetName val="9-1차이내역"/>
      <sheetName val="오정용선임"/>
      <sheetName val="금강투자2000"/>
      <sheetName val="건재양식"/>
      <sheetName val="DATA BASE"/>
      <sheetName val="업체등록"/>
      <sheetName val="자재입고"/>
      <sheetName val="자재출고"/>
      <sheetName val="제품등록"/>
      <sheetName val="총소요량"/>
      <sheetName val="현재고"/>
      <sheetName val="상품재고(97)"/>
      <sheetName val="내구품질향상1"/>
      <sheetName val="GK_XDBASE"/>
      <sheetName val="(평균)"/>
      <sheetName val="냉연"/>
      <sheetName val="내경"/>
      <sheetName val="W-현원가"/>
      <sheetName val="hp_td_calc"/>
      <sheetName val="6B008"/>
      <sheetName val="MPL 技連"/>
      <sheetName val="342E BLOCK"/>
      <sheetName val="LX3_0_RR"/>
      <sheetName val="DFMEA"/>
      <sheetName val="02 07 27 부품판매가"/>
      <sheetName val="총"/>
      <sheetName val="윤영환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SUB_2월_재검사추이도"/>
      <sheetName val="5_세운W-A"/>
      <sheetName val="일일_업무_현황_(3)"/>
      <sheetName val="일일_업무_현황_(5)"/>
      <sheetName val="JT3_0견적-구1"/>
      <sheetName val="c_db"/>
      <sheetName val="417CPK"/>
      <sheetName val="SS"/>
      <sheetName val="가공비(2)"/>
      <sheetName val="Evaluation objects"/>
      <sheetName val="FRONT HUB견적가"/>
      <sheetName val="VS1 Paretto분석"/>
      <sheetName val="intro"/>
      <sheetName val="PTR台손익"/>
      <sheetName val="TABLE"/>
      <sheetName val="재료비"/>
      <sheetName val="기준"/>
      <sheetName val="협력사 일반현황"/>
      <sheetName val="생산현황 (입력)"/>
      <sheetName val="작업시간"/>
      <sheetName val="1.ER유체응용"/>
      <sheetName val="4.시험장비"/>
      <sheetName val="ML"/>
      <sheetName val="급여대장(기능직)"/>
      <sheetName val="1-1.General Code"/>
      <sheetName val="임율 &amp; LOT"/>
      <sheetName val="DataBase"/>
      <sheetName val="판매98"/>
      <sheetName val="GSTOTAL"/>
      <sheetName val="3-2_귀책부서별_DT현황1"/>
      <sheetName val="B053_(990701)공정실적PP%계산"/>
      <sheetName val="0_절삭조건"/>
      <sheetName val="Segments"/>
      <sheetName val="경비공통"/>
      <sheetName val="생산계획 (2)"/>
      <sheetName val="Type"/>
      <sheetName val="내장"/>
      <sheetName val="CR CODE"/>
      <sheetName val="부서CODE"/>
      <sheetName val="THEME CODE"/>
      <sheetName val="DAT_목표_"/>
      <sheetName val="지침"/>
      <sheetName val="MC&amp;다변화"/>
      <sheetName val="ROYALTY"/>
      <sheetName val="매입세율"/>
      <sheetName val="공사개요"/>
      <sheetName val="작업일보"/>
      <sheetName val="SHAFT"/>
      <sheetName val="검사성적서(갑)"/>
      <sheetName val="표지"/>
      <sheetName val="장적산출"/>
      <sheetName val="R&amp;D"/>
      <sheetName val="96PLAN"/>
      <sheetName val="상세 계산 내역"/>
      <sheetName val="채권(하반기)"/>
      <sheetName val="B"/>
      <sheetName val="712"/>
      <sheetName val="RR저항Cp"/>
      <sheetName val="MCT6"/>
      <sheetName val="SPT"/>
      <sheetName val="선반OPT"/>
      <sheetName val="98종합"/>
      <sheetName val="자재단가"/>
      <sheetName val="NGS4"/>
      <sheetName val="공정별"/>
      <sheetName val="SPG생산"/>
      <sheetName val="일반관리비"/>
      <sheetName val="업체별 단가현황"/>
      <sheetName val="6월수불"/>
      <sheetName val="정비손익"/>
      <sheetName val="Sheet5"/>
      <sheetName val="10-1"/>
      <sheetName val="P&amp;L,Bal Sheet,Cash Forecast"/>
      <sheetName val="소상 &quot;1&quot;"/>
      <sheetName val="금형품"/>
      <sheetName val="매출계획"/>
      <sheetName val="현재"/>
      <sheetName val="Tiburon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MAIN"/>
      <sheetName val="ENG"/>
      <sheetName val="CONT"/>
      <sheetName val="비교원가제출.고"/>
      <sheetName val="공정및생산관리절차서"/>
      <sheetName val="중점과제-경비(제안)"/>
      <sheetName val="Basic assumptions"/>
      <sheetName val="98지급계획"/>
      <sheetName val="업무분장"/>
      <sheetName val="월간인력"/>
      <sheetName val="기타코드"/>
      <sheetName val="년령분석표(02년)"/>
      <sheetName val="지역별"/>
      <sheetName val="세부내용"/>
      <sheetName val="이름표모음"/>
      <sheetName val="MTK_사후"/>
      <sheetName val="94B"/>
      <sheetName val="원본(실제)"/>
      <sheetName val="#142-1-갑"/>
      <sheetName val="050218"/>
      <sheetName val="1.세부비교원가(내수)"/>
      <sheetName val="Sheet3"/>
      <sheetName val="1.종합비교원가(내수_일반_유럽)"/>
      <sheetName val="TM1Variables"/>
      <sheetName val="손익계산서"/>
      <sheetName val="CF"/>
      <sheetName val="V64"/>
      <sheetName val="31323-4A005(PPK)"/>
      <sheetName val="회순"/>
      <sheetName val="작업장"/>
      <sheetName val="공통"/>
      <sheetName val="Budget"/>
      <sheetName val="사유코드"/>
      <sheetName val="자체실적1Q"/>
      <sheetName val="MPS Q3 FY04"/>
      <sheetName val="MPS Q4 FY04"/>
      <sheetName val="125PIECE"/>
      <sheetName val="BTS-시범물량"/>
      <sheetName val="시설투자"/>
      <sheetName val="소계정"/>
      <sheetName val="BND"/>
      <sheetName val="SPONGE단가"/>
      <sheetName val="A-A"/>
      <sheetName val="시산9812"/>
      <sheetName val="R&amp;R(DATA)"/>
      <sheetName val="팀별종합"/>
      <sheetName val="검사협정서"/>
      <sheetName val="2002년판매실적"/>
      <sheetName val="03 PFD-1"/>
      <sheetName val="DATE"/>
      <sheetName val="물산(양산)"/>
      <sheetName val="정공(양산)"/>
      <sheetName val="테크(양산)"/>
      <sheetName val="계열사현황종합"/>
      <sheetName val="인사자료총집계"/>
      <sheetName val="印刷補助"/>
      <sheetName val="P&amp;L"/>
      <sheetName val="출장거리"/>
      <sheetName val="수출"/>
      <sheetName val="계획수량"/>
      <sheetName val="ENG油洩れ"/>
      <sheetName val="Takt"/>
      <sheetName val="매각단가"/>
      <sheetName val="15-COMP"/>
      <sheetName val="측정-1"/>
      <sheetName val="6C007(A)"/>
      <sheetName val="생산소모품"/>
      <sheetName val="일일 생산및판매계획 대 실적"/>
      <sheetName val="보고"/>
      <sheetName val="물품관리"/>
      <sheetName val="업체관리"/>
      <sheetName val="12.Inv."/>
      <sheetName val="주요재료비"/>
      <sheetName val="CSP원자재"/>
      <sheetName val="97년 재료예산(안)"/>
      <sheetName val="추산서총괄"/>
      <sheetName val="1.터빈"/>
      <sheetName val="HEAD"/>
      <sheetName val="SYS검토(1A1)"/>
      <sheetName val="13-1-2"/>
      <sheetName val="_x005f_x0000__x005f_x0000__x005f_x0000__x005f_x0000_ile"/>
      <sheetName val="설계일정"/>
      <sheetName val="가2"/>
      <sheetName val="승인1팀"/>
      <sheetName val="제품"/>
      <sheetName val="2. Definitions"/>
      <sheetName val="대표자"/>
      <sheetName val="양식"/>
      <sheetName val="예산코드"/>
      <sheetName val="단가MSTR"/>
      <sheetName val="11년단가"/>
      <sheetName val="생산직"/>
      <sheetName val="1월~3월"/>
      <sheetName val="4월~6월"/>
      <sheetName val="7-9월"/>
      <sheetName val="10월~12월"/>
      <sheetName val="공평7"/>
      <sheetName val="첨부6)CAPA분석표"/>
      <sheetName val="공평3"/>
      <sheetName val="공문"/>
      <sheetName val="내수1.8GL"/>
      <sheetName val="LAMBDA 자작"/>
      <sheetName val="유효성"/>
      <sheetName val="FACTOR"/>
      <sheetName val="예산실적전체당월"/>
      <sheetName val="정산내역"/>
      <sheetName val="운임.환차손-Y"/>
      <sheetName val="1_변경범위"/>
      <sheetName val="TEMP_TORQUE"/>
      <sheetName val="운임_환차손-Y"/>
      <sheetName val="존4"/>
      <sheetName val="Specification"/>
      <sheetName val="지부전체"/>
      <sheetName val="CSTHA616"/>
      <sheetName val="불량현상별END"/>
      <sheetName val="1-C,D"/>
      <sheetName val="총론"/>
      <sheetName val="리드14"/>
      <sheetName val="규칙"/>
      <sheetName val="상세"/>
      <sheetName val="연구인원내역"/>
      <sheetName val="주E95711"/>
      <sheetName val="상불"/>
      <sheetName val="master"/>
      <sheetName val="76210원가"/>
      <sheetName val="품명_자재코드"/>
      <sheetName val="코드 조건표"/>
      <sheetName val="코드_조건표"/>
      <sheetName val="MPL_技連"/>
      <sheetName val="342E_BLOCK"/>
      <sheetName val="송전기본"/>
      <sheetName val="협력사_일반현황"/>
      <sheetName val="금형_(2)"/>
      <sheetName val="오음명부"/>
      <sheetName val="CSC"/>
      <sheetName val="경비"/>
      <sheetName val="금형991202"/>
      <sheetName val="HMC 사전원가(원혁기준)13%"/>
      <sheetName val="07주차별실적"/>
      <sheetName val="1차명단"/>
      <sheetName val="2차 OIL량측정"/>
      <sheetName val="지점장"/>
      <sheetName val="총괄표"/>
      <sheetName val="LX3_0_RR1"/>
      <sheetName val="포머_비가동_내역"/>
      <sheetName val="Evaluation_objects"/>
      <sheetName val="FRONT_HUB견적가"/>
      <sheetName val="VS1_Paretto분석"/>
      <sheetName val="FLOW PROSES (A)"/>
      <sheetName val="세부견적"/>
      <sheetName val="ORIGIN"/>
      <sheetName val="계산 DATA 입력"/>
      <sheetName val="VPP(BD-010) 이상보고"/>
      <sheetName val="인원수계산"/>
      <sheetName val="이름"/>
      <sheetName val="장비 전체리스트"/>
      <sheetName val="장비리스트"/>
      <sheetName val="재품별 단가"/>
      <sheetName val="세계수요종합OK"/>
      <sheetName val="중점과제별관리도"/>
      <sheetName val="BAFFLE HMC TABLE1"/>
      <sheetName val="Calculation"/>
      <sheetName val="production dept"/>
      <sheetName val="System"/>
      <sheetName val="6.수입검사 "/>
      <sheetName val="Hilfstabellen"/>
      <sheetName val="cost base e dati"/>
      <sheetName val="변수"/>
      <sheetName val="회사정보"/>
      <sheetName val="테이블"/>
      <sheetName val="대표경력"/>
      <sheetName val="Data Sheet"/>
      <sheetName val="INDIA-ML"/>
      <sheetName val="91"/>
      <sheetName val="전체지분도"/>
      <sheetName val="안산"/>
      <sheetName val="천안"/>
      <sheetName val="PB내역"/>
      <sheetName val="회사제시"/>
      <sheetName val="期別全体表"/>
      <sheetName val="Sensitivity"/>
      <sheetName val="Sheet13"/>
      <sheetName val="?????"/>
      <sheetName val="품의양"/>
      <sheetName val=" "/>
      <sheetName val="완성차"/>
      <sheetName val="FAB별"/>
      <sheetName val="기준계정"/>
      <sheetName val="코드"/>
      <sheetName val="komentár"/>
      <sheetName val="집중검사 리스트"/>
      <sheetName val="10.예산 및 원가 계획(02년)"/>
      <sheetName val="입고단가기준"/>
      <sheetName val="일반급여"/>
      <sheetName val="협력업체"/>
      <sheetName val="TOP_trans"/>
      <sheetName val="C_Pnl원가1"/>
      <sheetName val="DB"/>
      <sheetName val="F4"/>
      <sheetName val="5월"/>
      <sheetName val="예상효과"/>
      <sheetName val="실행내역서 "/>
      <sheetName val="상각율표"/>
      <sheetName val="개발 LIST"/>
      <sheetName val="정미시간"/>
      <sheetName val="프레스"/>
      <sheetName val="등록의뢰"/>
      <sheetName val="공정별CR"/>
      <sheetName val="집연95"/>
      <sheetName val="000000"/>
      <sheetName val="WBS98"/>
      <sheetName val="관로공표지"/>
      <sheetName val="customer"/>
      <sheetName val="_x0000_PRDW30.XL"/>
      <sheetName val="PRESS DATA"/>
      <sheetName val="Lookups"/>
      <sheetName val="목록"/>
      <sheetName val="KMO"/>
      <sheetName val="생산일보(전체)"/>
      <sheetName val="RP변환코드"/>
      <sheetName val="report_20"/>
      <sheetName val="camera_30"/>
      <sheetName val="Book1"/>
      <sheetName val="조립지적"/>
      <sheetName val="시산표"/>
      <sheetName val="예산계획"/>
      <sheetName val="가격표"/>
      <sheetName val="구매실(원본)"/>
      <sheetName val="X-3 ENG"/>
      <sheetName val="상용_mp"/>
      <sheetName val="전력시간대(합계)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26_255"/>
      <sheetName val="CASE_ASM"/>
      <sheetName val="14_1부"/>
      <sheetName val="설비능력및_종합공정능력산출시_사용"/>
      <sheetName val="4월채무증감"/>
      <sheetName val="재질단가"/>
      <sheetName val="악성"/>
      <sheetName val="ALPROFILE 발주실적"/>
      <sheetName val="요약"/>
      <sheetName val="국내품"/>
      <sheetName val="수입부품비"/>
      <sheetName val="조정명세서"/>
      <sheetName val="DATAinput"/>
      <sheetName val="총list"/>
      <sheetName val="실행"/>
      <sheetName val="5_세운W-A1"/>
      <sheetName val="팀별_합계"/>
      <sheetName val="개발_TOOL_집계표"/>
      <sheetName val="경상_개발비"/>
      <sheetName val="매출종합_`09"/>
      <sheetName val="MACRO1_XLM"/>
      <sheetName val="PRDW30_XL"/>
      <sheetName val="PRESS_DATA"/>
      <sheetName val="Danh Mục"/>
      <sheetName val="Danh Muc"/>
      <sheetName val="파일테이블"/>
      <sheetName val="종합(PD,FD,RS)"/>
      <sheetName val="다목적갑"/>
      <sheetName val="96수출"/>
      <sheetName val="감사ⓚA"/>
      <sheetName val="차종별"/>
      <sheetName val="Cost Reduction"/>
      <sheetName val="Auswahl"/>
      <sheetName val=" PPAP 작성중 .xlsx"/>
      <sheetName val="1-Tables"/>
      <sheetName val="카니발슈마세피아"/>
      <sheetName val="작업제품군"/>
      <sheetName val="차종"/>
      <sheetName val="사용자코드1"/>
      <sheetName val="사용자코드2"/>
      <sheetName val="매출성격"/>
      <sheetName val="지역"/>
      <sheetName val="신고서.전"/>
      <sheetName val="1_2내수1"/>
      <sheetName val="Danh_Mục"/>
      <sheetName val="Danh_Muc"/>
      <sheetName val="1_TM2"/>
      <sheetName val="MOTO"/>
      <sheetName val="ppcarpet"/>
      <sheetName val="S13_관리계획서(체크시트)"/>
      <sheetName val="소요량분석(부자재)"/>
      <sheetName val="소요량분석(외주)"/>
      <sheetName val="발주"/>
      <sheetName val="COND"/>
      <sheetName val="월생산"/>
      <sheetName val="TUBE시험성적서"/>
      <sheetName val="근태현황"/>
      <sheetName val="GK차체EO-CUT전"/>
      <sheetName val="전장"/>
      <sheetName val="Grafikdaten"/>
      <sheetName val="주소(한문)"/>
      <sheetName val="99판매상세"/>
      <sheetName val="대차대조표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소상_&quot;1&quot;"/>
      <sheetName val="Nego_PV"/>
      <sheetName val="LAMBDA_자작"/>
      <sheetName val="Sheet1 (2)"/>
      <sheetName val="Sheet6 (3)"/>
      <sheetName val="판매종합"/>
      <sheetName val="불출요청"/>
      <sheetName val="금액"/>
      <sheetName val="p2_1"/>
      <sheetName val=" SR3차원단위 (3)"/>
      <sheetName val="Rate data"/>
      <sheetName val="내용"/>
      <sheetName val="분석mast"/>
      <sheetName val="2공구산출내역"/>
      <sheetName val="종합(LH)"/>
      <sheetName val="단가"/>
      <sheetName val="cv"/>
      <sheetName val="K55"/>
      <sheetName val="Sch7a (토요일)"/>
      <sheetName val="resume"/>
      <sheetName val="GLOBAL PT NEW FORMAT OCT 2002"/>
      <sheetName val="Dashboard"/>
      <sheetName val="재고자산명세(Y)"/>
      <sheetName val="ASSIGN"/>
      <sheetName val="제안그래프"/>
      <sheetName val="대외공문 "/>
      <sheetName val="수주단가"/>
      <sheetName val="일괄인쇄"/>
      <sheetName val="Technology"/>
      <sheetName val="PP%계산-1"/>
      <sheetName val="건설성적"/>
      <sheetName val="이자율"/>
      <sheetName val="제품원재"/>
      <sheetName val="부재예실1월"/>
      <sheetName val="71336(R)"/>
      <sheetName val="일위대가(계측기설치)"/>
      <sheetName val="●현황"/>
      <sheetName val="●목차"/>
      <sheetName val="원가계산서"/>
      <sheetName val="PRO (참조)"/>
      <sheetName val="외주품 감점 유형 기준"/>
      <sheetName val="Danh sach Hàn thùng"/>
      <sheetName val="TOT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BUS"/>
      <sheetName val="LOAIXE"/>
      <sheetName val="Nguon PT xetai"/>
      <sheetName val="NGUON"/>
      <sheetName val="Nguon PT xe Ben"/>
      <sheetName val="Bien so"/>
      <sheetName val="DM KHAU HAO"/>
      <sheetName val="Danh sach"/>
      <sheetName val="THƯ VIỆN"/>
      <sheetName val="5300"/>
      <sheetName val="단기차입금(200006)"/>
      <sheetName val="영업외"/>
      <sheetName val="1.1 2008 OTIF"/>
      <sheetName val="▶사출"/>
      <sheetName val="▶R_C FRM"/>
      <sheetName val="동성세부내역"/>
      <sheetName val="차체 품안표"/>
      <sheetName val="주요재무비율"/>
      <sheetName val="PNL ASS'Y CRASH PAD UPR RH"/>
      <sheetName val="CHINO검량선"/>
      <sheetName val="재고정확2"/>
      <sheetName val="수정시산표"/>
      <sheetName val="TEMP1"/>
      <sheetName val="A1"/>
      <sheetName val="S50 "/>
      <sheetName val="여비"/>
      <sheetName val="TABLE(KR)"/>
      <sheetName val="생산실적"/>
      <sheetName val="PC%계산(WM.COMM단차)"/>
      <sheetName val="급여대장(입력용)"/>
      <sheetName val="설비LIST"/>
      <sheetName val="매출"/>
      <sheetName val="무부하 회전수"/>
      <sheetName val="END"/>
      <sheetName val="1~3월 지시사항"/>
      <sheetName val="소유주(원)"/>
      <sheetName val="인원01"/>
      <sheetName val="1.POSITIONING"/>
      <sheetName val="사양정리"/>
      <sheetName val="Value Analysis - Sheet 1"/>
      <sheetName val="84531"/>
      <sheetName val="lot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차체부품_INS_REPORT(갑)2"/>
      <sheetName val="2_대외공문2"/>
      <sheetName val="외주현황_wq12"/>
      <sheetName val="FUEL_FILLER2"/>
      <sheetName val="3_일반사상2"/>
      <sheetName val="5_WIRE적용LIST2"/>
      <sheetName val="진행_DATA_(2)2"/>
      <sheetName val="3-2_귀책부서별_DT현황2"/>
      <sheetName val="_납촉자2"/>
      <sheetName val="LX3_0_RR2"/>
      <sheetName val="SUB_2월_재검사추이도1"/>
      <sheetName val="JT3_0견적-구11"/>
      <sheetName val="c_db1"/>
      <sheetName val="B053_(990701)공정실적PP%계산1"/>
      <sheetName val="일일_업무_현황_(3)1"/>
      <sheetName val="일일_업무_현황_(5)1"/>
      <sheetName val="CR_CODE"/>
      <sheetName val="THEME_CODE"/>
      <sheetName val="0_절삭조건1"/>
      <sheetName val="1_세부비교원가(내수)"/>
      <sheetName val="J150_승인진도관리_LIST"/>
      <sheetName val="TOTAL_LIST"/>
      <sheetName val="Price_Range"/>
      <sheetName val="FTR_MACRo"/>
      <sheetName val="1_종합비교원가(내수_일반_유럽)"/>
      <sheetName val="금형_(2)1"/>
      <sheetName val="VS1_Paretto분석1"/>
      <sheetName val="임율_&amp;_LOT"/>
      <sheetName val="MPL_技連1"/>
      <sheetName val="342E_BLOCK1"/>
      <sheetName val="생산현황_(입력)"/>
      <sheetName val="포머_비가동_내역1"/>
      <sheetName val="1_ER유체응용"/>
      <sheetName val="4_시험장비"/>
      <sheetName val="협력사_일반현황1"/>
      <sheetName val="상세_계산_내역"/>
      <sheetName val="생산계획_(2)"/>
      <sheetName val="DATA_BASE"/>
      <sheetName val="Evaluation_objects1"/>
      <sheetName val="FRONT_HUB견적가1"/>
      <sheetName val="1-1_General_Code"/>
      <sheetName val="TEMP_TORQUE1"/>
      <sheetName val="1_변경범위1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내수1_8GL"/>
      <sheetName val="업체별_단가현황"/>
      <sheetName val="비교원가제출_고"/>
      <sheetName val="Basic_assumptions"/>
      <sheetName val="운임_환차손-Y1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항목"/>
      <sheetName val="부동산세금"/>
      <sheetName val="국영"/>
      <sheetName val="TEAM하반기 계획 (2)"/>
      <sheetName val="96연구소인건비"/>
      <sheetName val="KURSER"/>
      <sheetName val="업체리스트"/>
      <sheetName val="거래처관리"/>
      <sheetName val="ﾊﾟｲﾌﾟ"/>
      <sheetName val="冷延鋼板"/>
      <sheetName val="熱延鋼板"/>
      <sheetName val="他材料費"/>
      <sheetName val="印刷"/>
      <sheetName val="条件表"/>
      <sheetName val="02-2W"/>
      <sheetName val="별제권_정리담보권"/>
      <sheetName val="ﾏｽﾀ"/>
      <sheetName val="견적마법사"/>
      <sheetName val="전처리"/>
      <sheetName val="Option"/>
      <sheetName val="Upgrades pricing"/>
      <sheetName val="7.3 DY팀"/>
      <sheetName val="5-Why Root Cause Analysis "/>
      <sheetName val="#REF!"/>
      <sheetName val="조정내역"/>
      <sheetName val="주간업무(개발구매팀)"/>
      <sheetName val="Cover"/>
      <sheetName val="포트외경(A)"/>
      <sheetName val="2001Org"/>
      <sheetName val="일보"/>
      <sheetName val="BSL"/>
      <sheetName val="진행중 설변"/>
      <sheetName val="96수표어음"/>
      <sheetName val="실적관리"/>
      <sheetName val="Financials"/>
      <sheetName val="Yield"/>
      <sheetName val="산출기준(파견전산실)"/>
      <sheetName val="품목"/>
      <sheetName val="계정"/>
      <sheetName val="수입명세서"/>
      <sheetName val="계산program"/>
      <sheetName val="impianti"/>
      <sheetName val="출력-생산일보"/>
      <sheetName val="품목표"/>
      <sheetName val="Moulding data"/>
      <sheetName val="Volumes"/>
      <sheetName val="SCP 4"/>
      <sheetName val="SCP 5 D2UXT"/>
      <sheetName val="SCP 6 D2UX"/>
      <sheetName val="Invest (MAC)"/>
      <sheetName val="SCP Apr2015"/>
      <sheetName val="HOLE 9905(1)"/>
      <sheetName val="VXX"/>
      <sheetName val="."/>
      <sheetName val="공정능력(마운틴 홀 거리)"/>
      <sheetName val="양식_샘플"/>
      <sheetName val="8월3주"/>
      <sheetName val="Questionnaire"/>
      <sheetName val="2-1.제품군별계획대비실적(B.A)"/>
      <sheetName val="f3"/>
      <sheetName val="0105"/>
      <sheetName val="0505"/>
      <sheetName val="그래프"/>
      <sheetName val="공사원가계산서"/>
      <sheetName val="Summary Sheet"/>
      <sheetName val="Datasheet for KPI Model 1"/>
      <sheetName val="만년달력"/>
      <sheetName val="휴일"/>
      <sheetName val="LINE_VENT"/>
      <sheetName val="OEM 이의제기 종합"/>
      <sheetName val="신공항A-9(원가수정)"/>
      <sheetName val="감독1130"/>
      <sheetName val="RECIMAKE"/>
      <sheetName val="6월재고2"/>
      <sheetName val="광주 소요량"/>
      <sheetName val="2월"/>
      <sheetName val="조립"/>
      <sheetName val="신규"/>
      <sheetName val="_x0000__x0000__x0000__x0000_ile"/>
      <sheetName val="XMA 12월 8,000대 원,부자재_完"/>
      <sheetName val="YFA 10월분 원자재(10.12)_미납완료_完"/>
      <sheetName val="YFA 10월분 부자재(10.7,9)_FEDEX_完"/>
      <sheetName val="HD1070(T)"/>
      <sheetName val="980710"/>
      <sheetName val="9703"/>
      <sheetName val="원재료불량"/>
      <sheetName val="sapactivexlhiddensheet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(1)"/>
      <sheetName val="공정능력 (2)"/>
      <sheetName val="cpk data"/>
      <sheetName val="Tubelists"/>
      <sheetName val="표준"/>
      <sheetName val="설비사양서B-1"/>
      <sheetName val="full (2)"/>
      <sheetName val="Production Plan1"/>
      <sheetName val="ISRDATA"/>
      <sheetName val="Master Cable"/>
      <sheetName val="Supplement2"/>
      <sheetName val="DBL LPG시험"/>
      <sheetName val="목표대비실적(R)"/>
      <sheetName val="SMXEXPS"/>
      <sheetName val="금형표지"/>
      <sheetName val="INVESTMENT (Hardware)"/>
      <sheetName val="기초데이타"/>
      <sheetName val="ROLL"/>
      <sheetName val="95MAKER"/>
      <sheetName val="GAGE R&amp;R(FRT UPR)"/>
      <sheetName val="사업소별9812"/>
      <sheetName val="10년11월이월현황"/>
      <sheetName val="중공업 실적"/>
      <sheetName val="16-1531"/>
      <sheetName val=" 하반기 경비 조정계획_150627(사계 r2 기준).x"/>
      <sheetName val="치공구"/>
      <sheetName val="판가반영"/>
      <sheetName val="so-021"/>
      <sheetName val="선재"/>
      <sheetName val="????ilencer"/>
      <sheetName val="생산실적입력"/>
      <sheetName val="법인세부담액"/>
      <sheetName val="등록자료"/>
      <sheetName val="입력정보"/>
      <sheetName val="여신보고용"/>
      <sheetName val="서진단가"/>
      <sheetName val="기아계획"/>
      <sheetName val="세목별"/>
      <sheetName val="A"/>
      <sheetName val="스풀능력"/>
      <sheetName val="노무비"/>
      <sheetName val="매출이익(실적)"/>
      <sheetName val="9609추"/>
      <sheetName val="국산화"/>
      <sheetName val="0.CHMSL LED ASSY"/>
      <sheetName val="변환테이블"/>
      <sheetName val="불량 리스트"/>
      <sheetName val="불량 코드"/>
      <sheetName val="현금흐름표"/>
      <sheetName val="그림목록"/>
      <sheetName val="침탄데이타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1.세부비교_x001b__x0000__x0000_㣪洁ᚦ"/>
      <sheetName val="목차"/>
      <sheetName val="82351"/>
      <sheetName val="6_수입검사_"/>
      <sheetName val="12_Inv_"/>
      <sheetName val="97년_재료예산(안)"/>
      <sheetName val="1_터빈"/>
      <sheetName val="cost_base_e_dati"/>
      <sheetName val="_"/>
      <sheetName val="집중검사_리스트"/>
      <sheetName val="10_예산_및_원가_계획(02년)"/>
      <sheetName val="실행내역서_"/>
      <sheetName val="개발_LIST"/>
      <sheetName val="Data_Sheet"/>
      <sheetName val="BAFFLE_HMC_TABLE1"/>
      <sheetName val="Value_Analysis_-_Sheet_1"/>
      <sheetName val="PC%계산(WM_COMM단차)"/>
      <sheetName val="Cost_Reduction"/>
      <sheetName val="차체_품안표"/>
      <sheetName val="1_1_2008_OTIF"/>
      <sheetName val="1~3월_지시사항"/>
      <sheetName val="1_POSITIONING"/>
      <sheetName val="production_dept"/>
      <sheetName val="51700-C2100(이의제기)"/>
      <sheetName val="BS"/>
      <sheetName val="TB"/>
      <sheetName val="부서별3월"/>
      <sheetName val="인원"/>
      <sheetName val="HeaderInfo"/>
      <sheetName val="J100"/>
      <sheetName val="RFQ Template"/>
      <sheetName val="科目余额表"/>
      <sheetName val="정비사업장별전망"/>
      <sheetName val="부품목표"/>
      <sheetName val="부평"/>
      <sheetName val="분당"/>
      <sheetName val="평촌"/>
      <sheetName val="승인율"/>
      <sheetName val="3월말 장기악성(국내)"/>
      <sheetName val="2월말 장기악성(국내)"/>
      <sheetName val="3월"/>
      <sheetName val="Dossier_Cdc"/>
      <sheetName val="DFMEA-DRBFM"/>
      <sheetName val="95WBS"/>
      <sheetName val="재발방지대책서"/>
      <sheetName val="YOKE-H(10.3)"/>
      <sheetName val="분석"/>
      <sheetName val="TABLE DB"/>
      <sheetName val="쌍용 data base"/>
      <sheetName val="본부재고"/>
      <sheetName val="VERTICAL PIPE"/>
      <sheetName val="2쪽"/>
      <sheetName val="Sum"/>
      <sheetName val="ALL"/>
      <sheetName val="LIDE"/>
      <sheetName val="광주재료"/>
      <sheetName val="감가상각"/>
      <sheetName val="소요단량"/>
      <sheetName val="2과 공수집계"/>
      <sheetName val="2000"/>
      <sheetName val="LS"/>
      <sheetName val="첨부5"/>
      <sheetName val="5-2"/>
      <sheetName val="_____"/>
      <sheetName val="무부하_회전수"/>
      <sheetName val="진행중_설변"/>
      <sheetName val="HOLE_9905(1)"/>
      <sheetName val="Production_Plan1"/>
      <sheetName val="생산계획"/>
      <sheetName val="108.수선비"/>
      <sheetName val="8기전사사업계획"/>
      <sheetName val="36기상반기자금실적"/>
      <sheetName val="X3"/>
      <sheetName val="업체정보"/>
      <sheetName val="07DATA"/>
      <sheetName val="WJ素材費"/>
      <sheetName val="품의서양식 (3)"/>
      <sheetName val="예상투자비"/>
      <sheetName val="조선용암면"/>
      <sheetName val="매출DATA"/>
      <sheetName val="종합장"/>
      <sheetName val="集計ﾘｽﾄ"/>
      <sheetName val="원가분석"/>
      <sheetName val="법인(환율지정)"/>
      <sheetName val="_x005f_x005f_x005f_x0000__x005f_x005f_x005f_x0000__x005"/>
      <sheetName val="1. 보고"/>
      <sheetName val="수지타입(ASSY)"/>
      <sheetName val="Asset98-CAK"/>
      <sheetName val="이체비용포함2"/>
      <sheetName val="이체비용포함"/>
      <sheetName val="PNL_ASS'Y_CRASH_PAD_UPR_RH"/>
      <sheetName val="Input Page"/>
      <sheetName val="Input Sheet"/>
      <sheetName val="Aug01 Status Rpt"/>
      <sheetName val="현금및현금등가물"/>
      <sheetName val="Base Info"/>
      <sheetName val="ISSUE LIST"/>
      <sheetName val="자료"/>
      <sheetName val="Assumption"/>
      <sheetName val="직원명부"/>
      <sheetName val="ALVXXL01"/>
      <sheetName val="철심금중량"/>
      <sheetName val="PC%계산DWMC"/>
      <sheetName val="구매내역"/>
      <sheetName val="생산실적db"/>
      <sheetName val="데이터"/>
      <sheetName val="비교원RD-S"/>
      <sheetName val="철판2"/>
      <sheetName val="년도별"/>
      <sheetName val="수출가격"/>
      <sheetName val="원가계산서양식"/>
      <sheetName val="TA10"/>
      <sheetName val="미익SUB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연습"/>
      <sheetName val="업체별매출실적"/>
      <sheetName val="기본정보"/>
      <sheetName val="초기화면"/>
      <sheetName val="근태일지"/>
      <sheetName val="첨부⑥"/>
      <sheetName val="CAPA분석 360K"/>
      <sheetName val="을"/>
      <sheetName val="초등학교내역서"/>
      <sheetName val="금관"/>
      <sheetName val="백화"/>
      <sheetName val="작동logic"/>
      <sheetName val="6 N.m CCW 전류"/>
      <sheetName val="기준코드"/>
      <sheetName val="원단위 전후비교"/>
      <sheetName val="EF-SONATA"/>
      <sheetName val="02년 SUC"/>
      <sheetName val="투입공수계획"/>
      <sheetName val="월간생산계획"/>
      <sheetName val="최신"/>
      <sheetName val="Bosch ADVP&amp;R"/>
      <sheetName val="SFM-TTL"/>
      <sheetName val="수h"/>
      <sheetName val="PAKAGE4362"/>
      <sheetName val="업체별"/>
      <sheetName val="Purchasing Data"/>
      <sheetName val="실적 및 계획"/>
      <sheetName val="LL"/>
      <sheetName val="한성화물"/>
      <sheetName val="소결재공"/>
      <sheetName val="판매수량"/>
      <sheetName val="종목코드"/>
      <sheetName val="MexiqueVentes97"/>
      <sheetName val="3. 관리점지수실적-1.1생산성"/>
      <sheetName val="Sec 1 - RFQ"/>
      <sheetName val="ERP도입후 시정현황"/>
      <sheetName val="Sheet6"/>
      <sheetName val="제품정보"/>
      <sheetName val="销售计划"/>
      <sheetName val="Headcount"/>
      <sheetName val="Sales_LT"/>
      <sheetName val="승용"/>
      <sheetName val="공정능력평가-2"/>
      <sheetName val="공정능력평가-3"/>
      <sheetName val="외관검사"/>
      <sheetName val="1-1-1-2"/>
      <sheetName val="Sheet10"/>
      <sheetName val="pri"/>
      <sheetName val="외주업체"/>
      <sheetName val="임시12월"/>
      <sheetName val="생산_P"/>
      <sheetName val="Graph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99예산"/>
      <sheetName val="PPS2"/>
      <sheetName val="材料"/>
      <sheetName val="SPA원가"/>
      <sheetName val="인건비"/>
      <sheetName val="종합BDATA"/>
      <sheetName val="적하보험"/>
      <sheetName val="옹벽1"/>
      <sheetName val="영업.일1"/>
      <sheetName val="품-(주)코①"/>
      <sheetName val="적용수량"/>
      <sheetName val="자재소요"/>
      <sheetName val="판매계획"/>
      <sheetName val="EurotoolsXRates"/>
      <sheetName val="PFMEA.XLS"/>
      <sheetName val="Cpk3"/>
      <sheetName val="INVESTMENT_(Hardware)"/>
      <sheetName val="거래처"/>
      <sheetName val="Config"/>
      <sheetName val="#93"/>
      <sheetName val="STEEL95"/>
      <sheetName val="Sheet6_(3)"/>
      <sheetName val="도표"/>
      <sheetName val="2008 г"/>
      <sheetName val="조서목차"/>
      <sheetName val="가격품의"/>
      <sheetName val="월매출"/>
      <sheetName val="M96현황-동아"/>
      <sheetName val="PILOT품"/>
      <sheetName val="금형품의서"/>
      <sheetName val="RELAY FAX양식"/>
      <sheetName val="상세 견적서 (HMC)"/>
      <sheetName val="Summary"/>
      <sheetName val="2.중요한회계정책"/>
      <sheetName val="9.관계기업투자"/>
      <sheetName val="42.리스"/>
      <sheetName val="25.법인세"/>
      <sheetName val="COKBOM"/>
      <sheetName val="ﾀｰﾋﾞﾝﾃﾞｰﾀ"/>
      <sheetName val="File_Table"/>
      <sheetName val="Proj List 00E"/>
      <sheetName val="부재료"/>
      <sheetName val="97입고현황(사내)"/>
      <sheetName val="97출고현황(SEC)"/>
      <sheetName val="97출고현황(매출분)"/>
      <sheetName val="첨부3"/>
      <sheetName val="DS-Thuong 6T dau"/>
      <sheetName val="3M000"/>
      <sheetName val="물량표"/>
      <sheetName val="10년01월부터"/>
      <sheetName val="예적금"/>
      <sheetName val="세무서코드"/>
      <sheetName val="D300726_1"/>
      <sheetName val="3월판매예상_2주차"/>
      <sheetName val="_0602주-무결점운동 진행현황 보고 (20140610)"/>
      <sheetName val="업무분장 "/>
      <sheetName val="FELT"/>
      <sheetName val="내년"/>
      <sheetName val="DV Flow Chart DV-PV1 (PFC)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사업소득자세수추계"/>
      <sheetName val="WS"/>
      <sheetName val="DATA(1-8)"/>
      <sheetName val="1부생산계획"/>
      <sheetName val="이자수입"/>
      <sheetName val="사외외주매출"/>
      <sheetName val="20일시험전표지"/>
      <sheetName val="FRONT"/>
      <sheetName val="REAR "/>
      <sheetName val="FR저항Cp"/>
      <sheetName val="abs dac검사대비분석자료2"/>
      <sheetName val="RFQ Form"/>
      <sheetName val="00년거래처별실적"/>
      <sheetName val="재고품목"/>
      <sheetName val="CPK_CHART"/>
      <sheetName val="pl2k12"/>
      <sheetName val="생산(전장입력)-1"/>
      <sheetName val="GLOBAL PT NEW FORMAT JULY  2002"/>
      <sheetName val="C100"/>
      <sheetName val="인원부하"/>
      <sheetName val="DOM-競合車SPEC"/>
      <sheetName val="출입자명단"/>
      <sheetName val="ｴｱﾃﾞｨｽｸ"/>
      <sheetName val="평가표"/>
      <sheetName val="FMEAPRO3"/>
      <sheetName val="담당"/>
      <sheetName val="생산2부(COL'M,U_J)"/>
      <sheetName val="BOM"/>
      <sheetName val="산업판매입력"/>
      <sheetName val="3.PT개발계획"/>
      <sheetName val="예정임율"/>
      <sheetName val="Y3-LIST"/>
      <sheetName val="PPK(공정능력조사표)"/>
      <sheetName val="N719(NC)"/>
      <sheetName val="Interco &amp; PVS Loc Cur"/>
      <sheetName val="실적(Q11)"/>
      <sheetName val="예산(Q11)"/>
      <sheetName val="자가2급"/>
      <sheetName val="해외생산"/>
      <sheetName val="내역"/>
      <sheetName val="FO원단위"/>
      <sheetName val="Sheet16"/>
      <sheetName val="TRANSLAT"/>
      <sheetName val="21444-41900"/>
      <sheetName val="원가절감"/>
      <sheetName val="별도관리"/>
      <sheetName val="SOURCE"/>
      <sheetName val="공수"/>
      <sheetName val="3620SE"/>
      <sheetName val="공정별공법-W.HSE-LH"/>
      <sheetName val="효성"/>
      <sheetName val="자체실적Y"/>
      <sheetName val="과제"/>
      <sheetName val="Sales"/>
      <sheetName val="c.db1"/>
      <sheetName val="1st"/>
      <sheetName val="고객불만 건"/>
      <sheetName val="BACK_DATA_08_7_1~2"/>
      <sheetName val="E_W2"/>
      <sheetName val="P_W2"/>
      <sheetName val="S_W2"/>
      <sheetName val="1ဲ_ALT2"/>
      <sheetName val="1ဳ_O_S2"/>
      <sheetName val="15_၄AMPER2"/>
      <sheetName val="GB-IC_Villingen_GG2"/>
      <sheetName val="BACK_DATA2"/>
      <sheetName val="OPT손익_내수2"/>
      <sheetName val="OPT손익_수출2"/>
      <sheetName val="二_POSITION_XLS2"/>
      <sheetName val="126_2551"/>
      <sheetName val="14_1부1"/>
      <sheetName val="CASE_ASM1"/>
      <sheetName val="매출종합_`091"/>
      <sheetName val="와이어"/>
      <sheetName val="제품명 (3)"/>
      <sheetName val="MethodC"/>
      <sheetName val="업무담당"/>
      <sheetName val="첨부2"/>
      <sheetName val="JUNY"/>
      <sheetName val="069"/>
      <sheetName val="본사-출장소구분"/>
      <sheetName val="생산일보"/>
      <sheetName val="품목테이블"/>
      <sheetName val="ref"/>
      <sheetName val="전사"/>
      <sheetName val="진급관련DATA"/>
      <sheetName val="소상_&quot;1&quot;1"/>
      <sheetName val="예금미수이자(6월)"/>
      <sheetName val="TL PROTO 2열"/>
      <sheetName val="참조코드현황"/>
      <sheetName val="10-1소요"/>
      <sheetName val="목표세부명세"/>
      <sheetName val="99원가원판"/>
      <sheetName val="기안지"/>
      <sheetName val="应收帐款"/>
      <sheetName val="대지급(한미)"/>
      <sheetName val="전장품(관리용)"/>
      <sheetName val="2선재"/>
      <sheetName val="094_APP別"/>
      <sheetName val="현장"/>
      <sheetName val="변제"/>
      <sheetName val="10월11일"/>
      <sheetName val="설비능력및_종합공정능력산출시_사용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팀별_합계1"/>
      <sheetName val="Nego_PV1"/>
      <sheetName val="LAMBDA_자작1"/>
      <sheetName val="SPEC1"/>
      <sheetName val="INDEX"/>
      <sheetName val="공용라이온-2"/>
      <sheetName val="GM Master"/>
      <sheetName val="97계획(96.11"/>
      <sheetName val="재공품기초자료"/>
      <sheetName val="퇴충수정"/>
      <sheetName val="Validation Lists"/>
      <sheetName val="参照条件"/>
      <sheetName val="참고"/>
      <sheetName val="CR금액"/>
      <sheetName val="OEM Plan"/>
      <sheetName val="SO416"/>
      <sheetName val="구매사양"/>
      <sheetName val="ALPROFILE_발주실적"/>
      <sheetName val="Basic"/>
      <sheetName val="DIEZEL動弁相場"/>
      <sheetName val="4.3 첨부1"/>
      <sheetName val="5호기_Query"/>
      <sheetName val="사업경"/>
      <sheetName val="기본정보입력"/>
      <sheetName val="세부자료"/>
      <sheetName val="투자예산"/>
      <sheetName val="원가기초정보"/>
      <sheetName val="산정표"/>
      <sheetName val="영업인계"/>
      <sheetName val="재공재고"/>
      <sheetName val="포장현황"/>
      <sheetName val="분류"/>
      <sheetName val="계실5-1"/>
      <sheetName val="工程信息"/>
      <sheetName val="초기공정능력"/>
      <sheetName val="불량코드"/>
      <sheetName val="MC%계산"/>
      <sheetName val="※목록"/>
      <sheetName val="공정능력"/>
      <sheetName val="구분자료"/>
      <sheetName val="검사협정 보충"/>
      <sheetName val="Supplier QRQC"/>
      <sheetName val="발주서"/>
      <sheetName val="X-3_ENG"/>
      <sheetName val="Sheet1_(2)"/>
      <sheetName val="Sch7a_(토요일)"/>
      <sheetName val="GLOBAL_PT_NEW_FORMAT_OCT_2002"/>
      <sheetName val="대외공문_"/>
      <sheetName val="5_세운W-A2"/>
      <sheetName val="PRESS_DATA1"/>
      <sheetName val="X-3_ENG1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ဲ_ALT3"/>
      <sheetName val="1ဳ_O_S3"/>
      <sheetName val="15_၄AMPER3"/>
      <sheetName val="GB-IC_Villingen_GG3"/>
      <sheetName val="BACK_DATA_08_7_1~3"/>
      <sheetName val="E_W3"/>
      <sheetName val="P_W3"/>
      <sheetName val="S_W3"/>
      <sheetName val="二_POSITION_XLS3"/>
      <sheetName val="OPT손익_내수3"/>
      <sheetName val="OPT손익_수출3"/>
      <sheetName val="BACK_DATA3"/>
      <sheetName val="외주현황_wq13"/>
      <sheetName val="2_대외공문3"/>
      <sheetName val="TEMP_TORQUE2"/>
      <sheetName val="5_세운W-A3"/>
      <sheetName val="126_2552"/>
      <sheetName val="B053_(990701)공정실적PP%계산2"/>
      <sheetName val="CASE_ASM2"/>
      <sheetName val="14_1부2"/>
      <sheetName val="1_변경범위2"/>
      <sheetName val="JT3_0견적-구12"/>
      <sheetName val="PRESS_DATA2"/>
      <sheetName val="SUB_2월_재검사추이도2"/>
      <sheetName val="c_db2"/>
      <sheetName val="설비능력및_종합공정능력산출시_사용2"/>
      <sheetName val="소상_&quot;1&quot;2"/>
      <sheetName val="팀별_합계2"/>
      <sheetName val="운임_환차손-Y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내수1_8GL1"/>
      <sheetName val="외주품_감점_유형_기준"/>
      <sheetName val="PRO_(참조)"/>
      <sheetName val="Master_Cable"/>
      <sheetName val="CAPA분석_360K"/>
      <sheetName val="실적_및_계획"/>
      <sheetName val="공정능력_(2)"/>
      <sheetName val="3__관리점지수실적-1_1생산성"/>
      <sheetName val="Sec_1_-_RFQ"/>
      <sheetName val="02년_SUC"/>
      <sheetName val="Rate_data"/>
      <sheetName val="원단위_전후비교"/>
      <sheetName val="Bosch_ADVP&amp;R"/>
      <sheetName val="_SR3차원단위_(3)"/>
      <sheetName val="공정별공법-W_HSE-LH"/>
      <sheetName val="73711"/>
      <sheetName val="설계명세"/>
      <sheetName val="PS SIDE OTR INR 공정개선 상세"/>
      <sheetName val="비가동-20"/>
      <sheetName val="영업용가격대"/>
      <sheetName val="노동부"/>
      <sheetName val="첨부#1(SRC)"/>
      <sheetName val="1.기안을지"/>
      <sheetName val="PROFILE"/>
      <sheetName val="콤비품의-3"/>
      <sheetName val="3사분기"/>
      <sheetName val="분기별데이타"/>
      <sheetName val="월별데이타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HSA"/>
      <sheetName val="TEL"/>
      <sheetName val="분석DATA(년도별)"/>
      <sheetName val="09년 현황"/>
      <sheetName val="CNC810M"/>
      <sheetName val="원가절감종합"/>
      <sheetName val="WTC BODY一覧原紙"/>
      <sheetName val="국고채권3-5"/>
      <sheetName val="가동일보"/>
      <sheetName val="5사남"/>
      <sheetName val="BOX ASSY"/>
      <sheetName val="After sales"/>
      <sheetName val="CAR Form Summary"/>
      <sheetName val="첨부4.기술평가서"/>
      <sheetName val="LOCKUP"/>
      <sheetName val="54813M2001"/>
      <sheetName val="Personnaliser..."/>
      <sheetName val="Takt Time"/>
      <sheetName val="시설이용권명세서"/>
      <sheetName val="특정현금과예금"/>
      <sheetName val="99정부과제종합"/>
      <sheetName val="Data입력"/>
      <sheetName val="기계(1998~2003년)작업본"/>
      <sheetName val="기계(2004년)작업본"/>
      <sheetName val="입력laser"/>
      <sheetName val="25414-B2060"/>
      <sheetName val="項目定義"/>
      <sheetName val="양식-금형"/>
      <sheetName val="1.2.2완제품검사('00.4월) (가라)"/>
      <sheetName val="cr2000분석"/>
      <sheetName val="64512(갑)"/>
      <sheetName val="경영재무 (입력)"/>
      <sheetName val="연구개발 (입력)"/>
      <sheetName val="일반현황 (입력)"/>
      <sheetName val="품질관리 (입력)"/>
      <sheetName val="Data Input"/>
      <sheetName val="건축내역"/>
      <sheetName val="평가"/>
      <sheetName val="별제권_정리담보권1"/>
      <sheetName val="금형이력"/>
      <sheetName val="설계내역서"/>
      <sheetName val="종합표"/>
      <sheetName val="FO-BO-ER"/>
      <sheetName val="INJ_FRT"/>
      <sheetName val="3.3검토국"/>
      <sheetName val="출고현황"/>
      <sheetName val="오퍼(DS)"/>
      <sheetName val="6월(DS)"/>
      <sheetName val="물량표S"/>
      <sheetName val="PAINT"/>
      <sheetName val="실행내역"/>
      <sheetName val="4월"/>
      <sheetName val="비용구조"/>
      <sheetName val="피엘"/>
      <sheetName val="Issues List"/>
      <sheetName val="Appendix_TT"/>
      <sheetName val="(2)월생산현황 "/>
      <sheetName val="LINE PPM-분석"/>
      <sheetName val="현장관리비"/>
      <sheetName val="수불부"/>
      <sheetName val="Actual data"/>
      <sheetName val="기준정보"/>
      <sheetName val="불량건수"/>
      <sheetName val="외주집계"/>
      <sheetName val="배부기준"/>
      <sheetName val="원가 종합"/>
      <sheetName val="SM672-001(A)"/>
      <sheetName val="3)재료비"/>
      <sheetName val="CPk원본"/>
      <sheetName val="GYOKAK2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J2(P.MT)"/>
      <sheetName val="전산DATA"/>
      <sheetName val="551"/>
      <sheetName val="집계표(VAN)"/>
      <sheetName val="TWIST"/>
      <sheetName val="양식(주)"/>
      <sheetName val="PQ분석2"/>
      <sheetName val="PQ분석3"/>
      <sheetName val="PQ분석1"/>
      <sheetName val="투자승인절차"/>
      <sheetName val="광주"/>
      <sheetName val="Bas Moteur"/>
      <sheetName val="Hab2"/>
      <sheetName val="Hab1"/>
      <sheetName val="출금계획"/>
      <sheetName val="1_2내수2"/>
      <sheetName val="Cost_Reduction1"/>
      <sheetName val="PFMEA_XLS"/>
      <sheetName val="신고서_전"/>
      <sheetName val="Sheet6_(3)1"/>
      <sheetName val="영업_일1"/>
      <sheetName val="RELAY_FAX양식"/>
      <sheetName val="상세_견적서_(HMC)"/>
      <sheetName val="INVESTMENT_(Hardware)1"/>
      <sheetName val="2008_г"/>
      <sheetName val="2_중요한회계정책"/>
      <sheetName val="9_관계기업투자"/>
      <sheetName val="42_리스"/>
      <sheetName val="25_법인세"/>
      <sheetName val="_PPAP_작성중__xlsx"/>
      <sheetName val="Proj_List_00E"/>
      <sheetName val="DBL_LPG시험"/>
      <sheetName val="1_2내수3"/>
      <sheetName val="진행_DATA_(2)3"/>
      <sheetName val="Cost_Reduction2"/>
      <sheetName val="PFMEA_XLS1"/>
      <sheetName val="신고서_전1"/>
      <sheetName val="Basic_assumptions1"/>
      <sheetName val="Drop-down Lists"/>
      <sheetName val="incetive"/>
      <sheetName val="2012 Volum"/>
      <sheetName val="공장코드"/>
      <sheetName val="거래선"/>
      <sheetName val="완성차물량"/>
      <sheetName val="Part_no"/>
      <sheetName val="PARAMETRES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CFLOW"/>
      <sheetName val="B053 (990701)공정능력PC%계산"/>
      <sheetName val="OP12037"/>
      <sheetName val="1.세부비교_x001b_"/>
      <sheetName val="종합현황"/>
      <sheetName val="기간별품목별불량유형집계"/>
      <sheetName val="96원가"/>
      <sheetName val="4.Vendor price"/>
      <sheetName val="14년 증판안 판촉"/>
      <sheetName val="14,15,16"/>
      <sheetName val="RSDB"/>
      <sheetName val="WSDB"/>
      <sheetName val="Europe PU-1"/>
      <sheetName val="MM利益・原価企画方針書ｶｸ１"/>
      <sheetName val="PMBG12LD 장비및인원소요(D.A기준) "/>
      <sheetName val="basic_info"/>
      <sheetName val="10매출"/>
      <sheetName val="은행"/>
      <sheetName val="TEMP2"/>
      <sheetName val="PIVOT"/>
      <sheetName val="표준(재질단가,조형단가)"/>
      <sheetName val="표준(중자)"/>
      <sheetName val="기본데이타"/>
      <sheetName val="2WD(KJ5G0662)"/>
      <sheetName val="MAT_N048"/>
      <sheetName val="구분목록"/>
      <sheetName val="사원관리"/>
      <sheetName val="조정"/>
      <sheetName val="NEW TOOL MASTER"/>
      <sheetName val="stockmonthlylist(stock_20190828"/>
      <sheetName val="DWPM분석시트"/>
      <sheetName val="매출(총액)"/>
      <sheetName val="판관비"/>
      <sheetName val="3-2002년 소모공구비"/>
      <sheetName val="数据库不可删除"/>
      <sheetName val="WE'T"/>
      <sheetName val="BREAKDOWN(철거설치)"/>
      <sheetName val="6월"/>
      <sheetName val="1.TAT_Info."/>
      <sheetName val="STD_DEVCHARTadd"/>
      <sheetName val="재품명"/>
      <sheetName val="불량명"/>
      <sheetName val="효과금액비교"/>
      <sheetName val="1.TP조립"/>
      <sheetName val="기타 부자재"/>
      <sheetName val="분리막"/>
      <sheetName val="전해액"/>
      <sheetName val="4.20)통계적기법관리절차서"/>
      <sheetName val="주E957㲆"/>
      <sheetName val="주E957㲆"/>
      <sheetName val="설비LIS_x0000_"/>
      <sheetName val="설비LIS_x0001_"/>
      <sheetName val="설비LIS"/>
      <sheetName val="개발원가 종합"/>
      <sheetName val="Raw_data"/>
      <sheetName val="SALE분석"/>
      <sheetName val="체재비"/>
      <sheetName val="월간단가"/>
      <sheetName val="Sheet"/>
      <sheetName val="5업체"/>
      <sheetName val="갑지"/>
      <sheetName val="１１月"/>
      <sheetName val="MS.SPEC"/>
      <sheetName val="SP"/>
      <sheetName val="재(실)"/>
      <sheetName val="인도원가"/>
      <sheetName val="PL"/>
      <sheetName val="BI-FUEL AIR VENT PIPE"/>
      <sheetName val="매입자료1"/>
      <sheetName val="Actual In &amp; Out"/>
      <sheetName val="차액보증"/>
      <sheetName val="1.종합평가표"/>
      <sheetName val="RFQ 1804"/>
      <sheetName val="운영"/>
      <sheetName val="DS_MBR RR Side  - PcA"/>
      <sheetName val="SRC(현재)"/>
      <sheetName val="차체부품_INS_REPORT(갑)3"/>
      <sheetName val="FUEL_FILLER3"/>
      <sheetName val="5_WIRE적용LIST3"/>
      <sheetName val="_납촉자3"/>
      <sheetName val="3_일반사상3"/>
      <sheetName val="금형_(2)2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SUB_2월_재검사추이도3"/>
      <sheetName val="JT3_0견적-구13"/>
      <sheetName val="c_db3"/>
      <sheetName val="금형_(2)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J150_승인진도관리_LIST2"/>
      <sheetName val="TOTAL_LIST2"/>
      <sheetName val="Price_Range2"/>
      <sheetName val="FTR_MACRo2"/>
      <sheetName val="협력사_일반현황2"/>
      <sheetName val="0_절삭조건2"/>
      <sheetName val="상세_계산_내역2"/>
      <sheetName val="MPL_技連2"/>
      <sheetName val="342E_BLOCK2"/>
      <sheetName val="1-1_General_Code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J150_승인진도관리_LIST1"/>
      <sheetName val="TOTAL_LIST1"/>
      <sheetName val="Price_Range1"/>
      <sheetName val="FTR_MACRo1"/>
      <sheetName val="상세_계산_내역1"/>
      <sheetName val="지점분석00"/>
      <sheetName val="Dual PMP수율"/>
      <sheetName val="业体目录"/>
      <sheetName val="LJM"/>
      <sheetName val="Full PBD"/>
      <sheetName val="첨부13. 사출(PAD)_카메라"/>
      <sheetName val="설비LIS"/>
      <sheetName val="CHI TIẾT"/>
      <sheetName val="신청현황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라이온2"/>
      <sheetName val="공통비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CONSUMO DE RESINA "/>
      <sheetName val="드롭다운"/>
      <sheetName val="업체데이터"/>
      <sheetName val="Tool Type"/>
      <sheetName val="LCAUTO.4"/>
      <sheetName val="LCAT수.조"/>
      <sheetName val="1단가변동"/>
      <sheetName val="日程"/>
      <sheetName val="進め方"/>
      <sheetName val="報告書表紙"/>
      <sheetName val="월별수입"/>
      <sheetName val=" Common Info Page"/>
      <sheetName val="XL4Poppy"/>
      <sheetName val="AQL(0.65)"/>
      <sheetName val="접촉온도"/>
      <sheetName val="_x005f_x0000__x005f_x0000__x005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NET면적"/>
      <sheetName val="2009년 매출 실적"/>
      <sheetName val="JINKYU"/>
      <sheetName val="OCT"/>
      <sheetName val="(9차)(본드합포)"/>
      <sheetName val="(9차)(화염양면라미)"/>
      <sheetName val="_1"/>
      <sheetName val="2-1_제품군별계획대비실적(B_A)"/>
      <sheetName val="공정능력(마운틴_홀_거리)"/>
      <sheetName val="Summary_Sheet"/>
      <sheetName val="Datasheet_for_KPI_Model_1"/>
      <sheetName val="OEM_이의제기_종합"/>
      <sheetName val="S50_"/>
      <sheetName val="신1"/>
      <sheetName val="DV_Flow_Chart_DV-PV1_(PFC)"/>
      <sheetName val="임율"/>
      <sheetName val="13년임율"/>
      <sheetName val="사정표"/>
      <sheetName val="구list"/>
      <sheetName val="단가2"/>
      <sheetName val="Burnish"/>
      <sheetName val="기타"/>
      <sheetName val="재질표"/>
      <sheetName val="내부품질감사절차서"/>
      <sheetName val="일보_생산"/>
      <sheetName val="2차 OI_x0010__x0000__xda10_࠱"/>
      <sheetName val="2차 OI_x0000__x0000_젘_x0000_"/>
      <sheetName val="2차 OI䑲⿀_x0000__x0000_"/>
      <sheetName val="공문송부업체"/>
      <sheetName val="기준DATA"/>
      <sheetName val="2차 OI_x0010_"/>
      <sheetName val="2차 OI"/>
      <sheetName val="2차 OI䑲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 refreshError="1"/>
      <sheetData sheetId="855" refreshError="1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/>
      <sheetData sheetId="1464"/>
      <sheetData sheetId="1465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/>
      <sheetData sheetId="1475"/>
      <sheetData sheetId="1476"/>
      <sheetData sheetId="1477"/>
      <sheetData sheetId="1478"/>
      <sheetData sheetId="1479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 refreshError="1"/>
      <sheetData sheetId="1640" refreshError="1"/>
      <sheetData sheetId="1641" refreshError="1"/>
      <sheetData sheetId="1642"/>
      <sheetData sheetId="1643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/>
      <sheetData sheetId="1669"/>
      <sheetData sheetId="1670"/>
      <sheetData sheetId="167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>
        <row r="73">
          <cell r="E73">
            <v>-1978066.1999669024</v>
          </cell>
        </row>
      </sheetData>
      <sheetData sheetId="2228">
        <row r="73">
          <cell r="E73">
            <v>-1978066.1999669024</v>
          </cell>
        </row>
      </sheetData>
      <sheetData sheetId="2229">
        <row r="73">
          <cell r="E73">
            <v>-1978066.1999669024</v>
          </cell>
        </row>
      </sheetData>
      <sheetData sheetId="2230">
        <row r="73">
          <cell r="E73">
            <v>-1978066.1999669024</v>
          </cell>
        </row>
      </sheetData>
      <sheetData sheetId="2231">
        <row r="73">
          <cell r="E73">
            <v>-1978066.1999669024</v>
          </cell>
        </row>
      </sheetData>
      <sheetData sheetId="2232">
        <row r="73">
          <cell r="E73">
            <v>-1978066.1999669024</v>
          </cell>
        </row>
      </sheetData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/>
      <sheetData sheetId="2371"/>
      <sheetData sheetId="2372"/>
      <sheetData sheetId="2373"/>
      <sheetData sheetId="2374"/>
      <sheetData sheetId="2375"/>
      <sheetData sheetId="2376"/>
      <sheetData sheetId="2377" refreshError="1"/>
      <sheetData sheetId="2378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89"/>
  <sheetViews>
    <sheetView tabSelected="1" view="pageBreakPreview" zoomScale="70" zoomScaleNormal="70" zoomScaleSheetLayoutView="7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D16" sqref="D16"/>
    </sheetView>
  </sheetViews>
  <sheetFormatPr defaultColWidth="8.42578125" defaultRowHeight="15.75"/>
  <cols>
    <col min="1" max="1" width="7.7109375" style="2" customWidth="1"/>
    <col min="2" max="2" width="12.7109375" style="2" customWidth="1"/>
    <col min="3" max="3" width="31" style="51" customWidth="1"/>
    <col min="4" max="4" width="18.85546875" style="2" customWidth="1"/>
    <col min="5" max="5" width="8.42578125" style="2" customWidth="1"/>
    <col min="6" max="6" width="12.5703125" style="2" customWidth="1"/>
    <col min="7" max="9" width="7.7109375" style="2" customWidth="1"/>
    <col min="10" max="13" width="7.7109375" style="1" customWidth="1"/>
    <col min="14" max="14" width="12.7109375" style="59" customWidth="1"/>
    <col min="15" max="15" width="7.7109375" style="1" customWidth="1"/>
    <col min="16" max="23" width="7.7109375" style="2" customWidth="1"/>
    <col min="24" max="24" width="10.5703125" style="2" customWidth="1"/>
    <col min="25" max="38" width="7.7109375" style="2" customWidth="1"/>
    <col min="39" max="39" width="14.85546875" style="2" bestFit="1" customWidth="1"/>
    <col min="40" max="40" width="8.28515625" style="2" customWidth="1"/>
    <col min="41" max="41" width="45.28515625" style="1" customWidth="1"/>
    <col min="42" max="42" width="12.7109375" style="2" customWidth="1"/>
    <col min="43" max="43" width="16.28515625" style="2" customWidth="1"/>
    <col min="44" max="44" width="21.7109375" style="5" customWidth="1"/>
    <col min="45" max="16384" width="8.42578125" style="2"/>
  </cols>
  <sheetData>
    <row r="1" spans="1:44" ht="35.2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85" t="s">
        <v>291</v>
      </c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129"/>
      <c r="AP1" s="100" t="s">
        <v>162</v>
      </c>
      <c r="AQ1" s="100"/>
      <c r="AR1" s="100"/>
    </row>
    <row r="2" spans="1:44" ht="35.2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86" t="s">
        <v>273</v>
      </c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5"/>
      <c r="AO2" s="130"/>
      <c r="AP2" s="100"/>
      <c r="AQ2" s="100"/>
      <c r="AR2" s="100"/>
    </row>
    <row r="3" spans="1:44" ht="32.25" customHeight="1">
      <c r="A3" s="103" t="s">
        <v>0</v>
      </c>
      <c r="B3" s="111" t="s">
        <v>272</v>
      </c>
      <c r="C3" s="105" t="s">
        <v>1</v>
      </c>
      <c r="D3" s="103" t="s">
        <v>2</v>
      </c>
      <c r="E3" s="159" t="s">
        <v>232</v>
      </c>
      <c r="F3" s="160"/>
      <c r="G3" s="160"/>
      <c r="H3" s="160"/>
      <c r="I3" s="160"/>
      <c r="J3" s="109" t="s">
        <v>233</v>
      </c>
      <c r="K3" s="109" t="s">
        <v>234</v>
      </c>
      <c r="L3" s="91" t="s">
        <v>286</v>
      </c>
      <c r="M3" s="92"/>
      <c r="N3" s="93"/>
      <c r="O3" s="137" t="s">
        <v>6</v>
      </c>
      <c r="P3" s="140" t="s">
        <v>215</v>
      </c>
      <c r="Q3" s="158" t="s">
        <v>219</v>
      </c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41" t="s">
        <v>285</v>
      </c>
      <c r="AK3" s="142"/>
      <c r="AL3" s="143"/>
      <c r="AM3" s="97" t="s">
        <v>228</v>
      </c>
      <c r="AN3" s="97" t="s">
        <v>289</v>
      </c>
      <c r="AO3" s="150" t="s">
        <v>238</v>
      </c>
      <c r="AP3" s="112" t="s">
        <v>223</v>
      </c>
      <c r="AQ3" s="113"/>
      <c r="AR3" s="114"/>
    </row>
    <row r="4" spans="1:44" ht="32.25" customHeight="1">
      <c r="A4" s="103"/>
      <c r="B4" s="103"/>
      <c r="C4" s="105"/>
      <c r="D4" s="103"/>
      <c r="E4" s="107" t="s">
        <v>3</v>
      </c>
      <c r="F4" s="107" t="s">
        <v>4</v>
      </c>
      <c r="G4" s="107" t="s">
        <v>5</v>
      </c>
      <c r="H4" s="107" t="s">
        <v>274</v>
      </c>
      <c r="I4" s="107" t="s">
        <v>275</v>
      </c>
      <c r="J4" s="109"/>
      <c r="K4" s="109"/>
      <c r="L4" s="94"/>
      <c r="M4" s="95"/>
      <c r="N4" s="96"/>
      <c r="O4" s="138"/>
      <c r="P4" s="140"/>
      <c r="Q4" s="121" t="s">
        <v>276</v>
      </c>
      <c r="R4" s="125"/>
      <c r="S4" s="125"/>
      <c r="T4" s="125"/>
      <c r="U4" s="125"/>
      <c r="V4" s="125"/>
      <c r="W4" s="125"/>
      <c r="X4" s="125"/>
      <c r="Y4" s="125"/>
      <c r="Z4" s="125"/>
      <c r="AA4" s="122"/>
      <c r="AB4" s="152" t="s">
        <v>227</v>
      </c>
      <c r="AC4" s="153"/>
      <c r="AD4" s="153"/>
      <c r="AE4" s="154"/>
      <c r="AF4" s="121" t="s">
        <v>216</v>
      </c>
      <c r="AG4" s="122"/>
      <c r="AH4" s="126" t="s">
        <v>282</v>
      </c>
      <c r="AI4" s="126" t="s">
        <v>284</v>
      </c>
      <c r="AJ4" s="144"/>
      <c r="AK4" s="145"/>
      <c r="AL4" s="146"/>
      <c r="AM4" s="98"/>
      <c r="AN4" s="98"/>
      <c r="AO4" s="150"/>
      <c r="AP4" s="115"/>
      <c r="AQ4" s="116"/>
      <c r="AR4" s="117"/>
    </row>
    <row r="5" spans="1:44" ht="32.25" customHeight="1">
      <c r="A5" s="103"/>
      <c r="B5" s="103"/>
      <c r="C5" s="105"/>
      <c r="D5" s="103"/>
      <c r="E5" s="107"/>
      <c r="F5" s="107"/>
      <c r="G5" s="107"/>
      <c r="H5" s="107"/>
      <c r="I5" s="107"/>
      <c r="J5" s="109"/>
      <c r="K5" s="109"/>
      <c r="L5" s="87" t="s">
        <v>235</v>
      </c>
      <c r="M5" s="87" t="s">
        <v>236</v>
      </c>
      <c r="N5" s="89" t="s">
        <v>237</v>
      </c>
      <c r="O5" s="138"/>
      <c r="P5" s="140"/>
      <c r="Q5" s="118" t="s">
        <v>249</v>
      </c>
      <c r="R5" s="119"/>
      <c r="S5" s="119"/>
      <c r="T5" s="119"/>
      <c r="U5" s="119"/>
      <c r="V5" s="120"/>
      <c r="W5" s="67" t="s">
        <v>277</v>
      </c>
      <c r="X5" s="67"/>
      <c r="Y5" s="67"/>
      <c r="Z5" s="67"/>
      <c r="AA5" s="66"/>
      <c r="AB5" s="155"/>
      <c r="AC5" s="156"/>
      <c r="AD5" s="156"/>
      <c r="AE5" s="157"/>
      <c r="AF5" s="123"/>
      <c r="AG5" s="124"/>
      <c r="AH5" s="128"/>
      <c r="AI5" s="127"/>
      <c r="AJ5" s="147"/>
      <c r="AK5" s="148"/>
      <c r="AL5" s="149"/>
      <c r="AM5" s="98"/>
      <c r="AN5" s="98"/>
      <c r="AO5" s="150"/>
      <c r="AP5" s="101" t="s">
        <v>224</v>
      </c>
      <c r="AQ5" s="101" t="s">
        <v>225</v>
      </c>
      <c r="AR5" s="101" t="s">
        <v>226</v>
      </c>
    </row>
    <row r="6" spans="1:44" s="3" customFormat="1" ht="57" customHeight="1">
      <c r="A6" s="104"/>
      <c r="B6" s="104"/>
      <c r="C6" s="106"/>
      <c r="D6" s="104"/>
      <c r="E6" s="108"/>
      <c r="F6" s="108"/>
      <c r="G6" s="108"/>
      <c r="H6" s="108"/>
      <c r="I6" s="108"/>
      <c r="J6" s="110"/>
      <c r="K6" s="110"/>
      <c r="L6" s="88"/>
      <c r="M6" s="88"/>
      <c r="N6" s="90"/>
      <c r="O6" s="139"/>
      <c r="P6" s="140"/>
      <c r="Q6" s="57" t="s">
        <v>243</v>
      </c>
      <c r="R6" s="57" t="s">
        <v>244</v>
      </c>
      <c r="S6" s="57" t="s">
        <v>245</v>
      </c>
      <c r="T6" s="57" t="s">
        <v>246</v>
      </c>
      <c r="U6" s="57" t="s">
        <v>247</v>
      </c>
      <c r="V6" s="57" t="s">
        <v>248</v>
      </c>
      <c r="W6" s="54" t="s">
        <v>221</v>
      </c>
      <c r="X6" s="54" t="s">
        <v>290</v>
      </c>
      <c r="Y6" s="54" t="s">
        <v>231</v>
      </c>
      <c r="Z6" s="54" t="s">
        <v>222</v>
      </c>
      <c r="AA6" s="54" t="s">
        <v>278</v>
      </c>
      <c r="AB6" s="55" t="s">
        <v>83</v>
      </c>
      <c r="AC6" s="55" t="s">
        <v>84</v>
      </c>
      <c r="AD6" s="68" t="s">
        <v>280</v>
      </c>
      <c r="AE6" s="68" t="s">
        <v>279</v>
      </c>
      <c r="AF6" s="57" t="s">
        <v>281</v>
      </c>
      <c r="AG6" s="57" t="s">
        <v>250</v>
      </c>
      <c r="AH6" s="69" t="s">
        <v>283</v>
      </c>
      <c r="AI6" s="128"/>
      <c r="AJ6" s="56" t="s">
        <v>6</v>
      </c>
      <c r="AK6" s="56" t="s">
        <v>215</v>
      </c>
      <c r="AL6" s="56" t="s">
        <v>219</v>
      </c>
      <c r="AM6" s="99"/>
      <c r="AN6" s="99"/>
      <c r="AO6" s="151"/>
      <c r="AP6" s="102"/>
      <c r="AQ6" s="102"/>
      <c r="AR6" s="102"/>
    </row>
    <row r="7" spans="1:44" s="1" customFormat="1" ht="42" customHeight="1">
      <c r="A7" s="81"/>
      <c r="B7" s="82"/>
      <c r="C7" s="76"/>
      <c r="D7" s="52"/>
      <c r="E7" s="52"/>
      <c r="F7" s="52"/>
      <c r="G7" s="52"/>
      <c r="H7" s="83"/>
      <c r="I7" s="83"/>
      <c r="J7" s="52"/>
      <c r="K7" s="52">
        <f t="shared" ref="K7:K21" si="0">J7</f>
        <v>0</v>
      </c>
      <c r="L7" s="84" t="str">
        <f>IFERROR((IFERROR(IF(MID(F7,3,1)="x",(LEFT(F7,2)*2+RIGHT(F7,2)*2-2*4*G7)*G7*E7*VLOOKUP(D7,'KL RIENG'!$B$3:$C$1048576,2,0)*10^-6,IF(AND(H7&lt;&gt;0,I7="",G7=""),H7*H7*E7*3.14/4*VLOOKUP(D7,'KL RIENG'!$B$3:$C$1048576,2,0)*10^-6,IF(AND(H7&lt;&gt;"",I7 ="",G7&lt;&gt;"",E7=""),H7*H7*G7*VLOOKUP(D7,'KL RIENG'!$B$3:$C$1048576,2,0)*10^-6,IF(AND(H7&lt;&gt;"",I7&lt;&gt;"",G7&lt;&gt;"",E7=""),H7*H7*G7*VLOOKUP(D7,'KL RIENG'!$B$3:$C$1048576,2,0)*10^-6,IF(AND(H7&lt;&gt;0,I7&lt;&gt;0,G7=""),(H7*H7-I7*I7)*3.14*E7/4*VLOOKUP(D7,'KL RIENG'!$B$3:$C$1048576,2,0)*10^-6,IF(AND(G7&lt;&gt;0,H7&lt;&gt;0,I7=""),(H7*H7-((H7-2*G7)*(H7-2*G7)))*3.14*E7/4*VLOOKUP(D7,'KL RIENG'!$B$3:$C$1048576,2,0)*10^-6,G7*F7*E7*VLOOKUP(D7,'KL RIENG'!$B$3:$C$1048576,2,0)*10^-6)))))),VLOOKUP(F7,'THEP HINH'!$B$4:$E$1048576,3,0)*DMVT!E7*VLOOKUP(D7,'KL RIENG'!$B$3:$C$1048576,2,0)*10^-6)),"")</f>
        <v/>
      </c>
      <c r="M7" s="84" t="str">
        <f t="shared" ref="M7:M15" si="1">IFERROR(J7*L7,"")</f>
        <v/>
      </c>
      <c r="N7" s="84" t="e">
        <f t="shared" ref="N7:N21" si="2">L7*K7</f>
        <v>#VALUE!</v>
      </c>
      <c r="O7" s="52"/>
      <c r="P7" s="52"/>
      <c r="Q7" s="52"/>
      <c r="R7" s="52"/>
      <c r="S7" s="52"/>
      <c r="T7" s="52"/>
      <c r="U7" s="52"/>
      <c r="V7" s="52"/>
      <c r="W7" s="52"/>
      <c r="X7" s="4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76"/>
      <c r="AO7" s="65"/>
      <c r="AP7" s="70">
        <v>3</v>
      </c>
      <c r="AQ7" s="71" t="str">
        <f t="shared" ref="AQ7:AQ21" si="3">IF(LEN(CONCATENATE(O7))&gt;0,"X","")</f>
        <v/>
      </c>
      <c r="AR7" s="71" t="str">
        <f t="shared" ref="AR7:AR21" si="4">IF(LEN(CONCATENATE(P7))&gt;0,"X","")</f>
        <v/>
      </c>
    </row>
    <row r="8" spans="1:44" s="1" customFormat="1" ht="42" customHeight="1">
      <c r="A8" s="81"/>
      <c r="B8" s="82"/>
      <c r="C8" s="76"/>
      <c r="D8" s="52"/>
      <c r="E8" s="52"/>
      <c r="F8" s="52"/>
      <c r="G8" s="52"/>
      <c r="H8" s="83"/>
      <c r="I8" s="83"/>
      <c r="J8" s="52"/>
      <c r="K8" s="52">
        <f t="shared" si="0"/>
        <v>0</v>
      </c>
      <c r="L8" s="84" t="str">
        <f>IFERROR((IFERROR(IF(MID(F8,3,1)="x",(LEFT(F8,2)*2+RIGHT(F8,2)*2-2*4*G8)*G8*E8*VLOOKUP(D8,'KL RIENG'!$B$3:$C$1048576,2,0)*10^-6,IF(AND(H8&lt;&gt;0,I8="",G8=""),H8*H8*E8*3.14/4*VLOOKUP(D8,'KL RIENG'!$B$3:$C$1048576,2,0)*10^-6,IF(AND(H8&lt;&gt;"",I8 ="",G8&lt;&gt;"",E8=""),H8*H8*G8*VLOOKUP(D8,'KL RIENG'!$B$3:$C$1048576,2,0)*10^-6,IF(AND(H8&lt;&gt;"",I8&lt;&gt;"",G8&lt;&gt;"",E8=""),H8*H8*G8*VLOOKUP(D8,'KL RIENG'!$B$3:$C$1048576,2,0)*10^-6,IF(AND(H8&lt;&gt;0,I8&lt;&gt;0,G8=""),(H8*H8-I8*I8)*3.14*E8/4*VLOOKUP(D8,'KL RIENG'!$B$3:$C$1048576,2,0)*10^-6,IF(AND(G8&lt;&gt;0,H8&lt;&gt;0,I8=""),(H8*H8-((H8-2*G8)*(H8-2*G8)))*3.14*E8/4*VLOOKUP(D8,'KL RIENG'!$B$3:$C$1048576,2,0)*10^-6,G8*F8*E8*VLOOKUP(D8,'KL RIENG'!$B$3:$C$1048576,2,0)*10^-6)))))),VLOOKUP(F8,'THEP HINH'!$B$4:$E$1048576,3,0)*DMVT!E8*VLOOKUP(D8,'KL RIENG'!$B$3:$C$1048576,2,0)*10^-6)),"")</f>
        <v/>
      </c>
      <c r="M8" s="84" t="str">
        <f t="shared" si="1"/>
        <v/>
      </c>
      <c r="N8" s="84" t="e">
        <f t="shared" si="2"/>
        <v>#VALUE!</v>
      </c>
      <c r="O8" s="52"/>
      <c r="P8" s="52"/>
      <c r="Q8" s="52"/>
      <c r="R8" s="52"/>
      <c r="S8" s="52"/>
      <c r="T8" s="52"/>
      <c r="U8" s="52"/>
      <c r="V8" s="52"/>
      <c r="W8" s="52"/>
      <c r="X8" s="4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76"/>
      <c r="AO8" s="65"/>
      <c r="AP8" s="70">
        <v>4</v>
      </c>
      <c r="AQ8" s="71" t="str">
        <f t="shared" si="3"/>
        <v/>
      </c>
      <c r="AR8" s="71" t="str">
        <f t="shared" si="4"/>
        <v/>
      </c>
    </row>
    <row r="9" spans="1:44" s="1" customFormat="1" ht="42" customHeight="1">
      <c r="A9" s="81"/>
      <c r="B9" s="82"/>
      <c r="C9" s="76"/>
      <c r="D9" s="52"/>
      <c r="E9" s="52"/>
      <c r="F9" s="52"/>
      <c r="G9" s="52"/>
      <c r="H9" s="83"/>
      <c r="I9" s="83"/>
      <c r="J9" s="52"/>
      <c r="K9" s="52">
        <f t="shared" si="0"/>
        <v>0</v>
      </c>
      <c r="L9" s="84" t="str">
        <f>IFERROR((IFERROR(IF(MID(F9,3,1)="x",(LEFT(F9,2)*2+RIGHT(F9,2)*2-2*4*G9)*G9*E9*VLOOKUP(D9,'KL RIENG'!$B$3:$C$1048576,2,0)*10^-6,IF(AND(H9&lt;&gt;0,I9="",G9=""),H9*H9*E9*3.14/4*VLOOKUP(D9,'KL RIENG'!$B$3:$C$1048576,2,0)*10^-6,IF(AND(H9&lt;&gt;"",I9 ="",G9&lt;&gt;"",E9=""),H9*H9*G9*VLOOKUP(D9,'KL RIENG'!$B$3:$C$1048576,2,0)*10^-6,IF(AND(H9&lt;&gt;"",I9&lt;&gt;"",G9&lt;&gt;"",E9=""),H9*H9*G9*VLOOKUP(D9,'KL RIENG'!$B$3:$C$1048576,2,0)*10^-6,IF(AND(H9&lt;&gt;0,I9&lt;&gt;0,G9=""),(H9*H9-I9*I9)*3.14*E9/4*VLOOKUP(D9,'KL RIENG'!$B$3:$C$1048576,2,0)*10^-6,IF(AND(G9&lt;&gt;0,H9&lt;&gt;0,I9=""),(H9*H9-((H9-2*G9)*(H9-2*G9)))*3.14*E9/4*VLOOKUP(D9,'KL RIENG'!$B$3:$C$1048576,2,0)*10^-6,G9*F9*E9*VLOOKUP(D9,'KL RIENG'!$B$3:$C$1048576,2,0)*10^-6)))))),VLOOKUP(F9,'THEP HINH'!$B$4:$E$1048576,3,0)*DMVT!E9*VLOOKUP(D9,'KL RIENG'!$B$3:$C$1048576,2,0)*10^-6)),"")</f>
        <v/>
      </c>
      <c r="M9" s="84" t="str">
        <f t="shared" si="1"/>
        <v/>
      </c>
      <c r="N9" s="84" t="e">
        <f t="shared" si="2"/>
        <v>#VALUE!</v>
      </c>
      <c r="O9" s="52"/>
      <c r="P9" s="52"/>
      <c r="Q9" s="52"/>
      <c r="R9" s="52"/>
      <c r="S9" s="52"/>
      <c r="T9" s="52"/>
      <c r="U9" s="52"/>
      <c r="V9" s="52"/>
      <c r="W9" s="52"/>
      <c r="X9" s="4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76"/>
      <c r="AO9" s="65"/>
      <c r="AP9" s="70">
        <v>5</v>
      </c>
      <c r="AQ9" s="71" t="str">
        <f t="shared" si="3"/>
        <v/>
      </c>
      <c r="AR9" s="71" t="str">
        <f t="shared" si="4"/>
        <v/>
      </c>
    </row>
    <row r="10" spans="1:44" s="1" customFormat="1" ht="42" customHeight="1">
      <c r="A10" s="81"/>
      <c r="B10" s="82"/>
      <c r="C10" s="76"/>
      <c r="D10" s="52"/>
      <c r="E10" s="52"/>
      <c r="F10" s="52"/>
      <c r="G10" s="52"/>
      <c r="H10" s="83"/>
      <c r="I10" s="83"/>
      <c r="J10" s="52"/>
      <c r="K10" s="52">
        <f t="shared" si="0"/>
        <v>0</v>
      </c>
      <c r="L10" s="84" t="str">
        <f>IFERROR((IFERROR(IF(MID(F10,3,1)="x",(LEFT(F10,2)*2+RIGHT(F10,2)*2-2*4*G10)*G10*E10*VLOOKUP(D10,'KL RIENG'!$B$3:$C$1048576,2,0)*10^-6,IF(AND(H10&lt;&gt;0,I10="",G10=""),H10*H10*E10*3.14/4*VLOOKUP(D10,'KL RIENG'!$B$3:$C$1048576,2,0)*10^-6,IF(AND(H10&lt;&gt;"",I10 ="",G10&lt;&gt;"",E10=""),H10*H10*G10*VLOOKUP(D10,'KL RIENG'!$B$3:$C$1048576,2,0)*10^-6,IF(AND(H10&lt;&gt;"",I10&lt;&gt;"",G10&lt;&gt;"",E10=""),H10*H10*G10*VLOOKUP(D10,'KL RIENG'!$B$3:$C$1048576,2,0)*10^-6,IF(AND(H10&lt;&gt;0,I10&lt;&gt;0,G10=""),(H10*H10-I10*I10)*3.14*E10/4*VLOOKUP(D10,'KL RIENG'!$B$3:$C$1048576,2,0)*10^-6,IF(AND(G10&lt;&gt;0,H10&lt;&gt;0,I10=""),(H10*H10-((H10-2*G10)*(H10-2*G10)))*3.14*E10/4*VLOOKUP(D10,'KL RIENG'!$B$3:$C$1048576,2,0)*10^-6,G10*F10*E10*VLOOKUP(D10,'KL RIENG'!$B$3:$C$1048576,2,0)*10^-6)))))),VLOOKUP(F10,'THEP HINH'!$B$4:$E$1048576,3,0)*DMVT!E10*VLOOKUP(D10,'KL RIENG'!$B$3:$C$1048576,2,0)*10^-6)),"")</f>
        <v/>
      </c>
      <c r="M10" s="84" t="str">
        <f t="shared" si="1"/>
        <v/>
      </c>
      <c r="N10" s="84" t="e">
        <f t="shared" si="2"/>
        <v>#VALUE!</v>
      </c>
      <c r="O10" s="52"/>
      <c r="P10" s="52"/>
      <c r="Q10" s="52"/>
      <c r="R10" s="52"/>
      <c r="S10" s="52"/>
      <c r="T10" s="52"/>
      <c r="U10" s="52"/>
      <c r="V10" s="52"/>
      <c r="W10" s="52"/>
      <c r="X10" s="4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76"/>
      <c r="AO10" s="65"/>
      <c r="AP10" s="70">
        <v>6</v>
      </c>
      <c r="AQ10" s="71" t="str">
        <f t="shared" si="3"/>
        <v/>
      </c>
      <c r="AR10" s="71" t="str">
        <f t="shared" si="4"/>
        <v/>
      </c>
    </row>
    <row r="11" spans="1:44" s="1" customFormat="1" ht="42" customHeight="1">
      <c r="A11" s="81"/>
      <c r="B11" s="82"/>
      <c r="C11" s="76"/>
      <c r="D11" s="52"/>
      <c r="E11" s="52"/>
      <c r="F11" s="52"/>
      <c r="G11" s="52"/>
      <c r="H11" s="83"/>
      <c r="I11" s="83"/>
      <c r="J11" s="52"/>
      <c r="K11" s="52">
        <f t="shared" si="0"/>
        <v>0</v>
      </c>
      <c r="L11" s="84" t="str">
        <f>IFERROR((IFERROR(IF(MID(F11,3,1)="x",(LEFT(F11,2)*2+RIGHT(F11,2)*2-2*4*G11)*G11*E11*VLOOKUP(D11,'KL RIENG'!$B$3:$C$1048576,2,0)*10^-6,IF(AND(H11&lt;&gt;0,I11="",G11=""),H11*H11*E11*3.14/4*VLOOKUP(D11,'KL RIENG'!$B$3:$C$1048576,2,0)*10^-6,IF(AND(H11&lt;&gt;"",I11 ="",G11&lt;&gt;"",E11=""),H11*H11*G11*VLOOKUP(D11,'KL RIENG'!$B$3:$C$1048576,2,0)*10^-6,IF(AND(H11&lt;&gt;"",I11&lt;&gt;"",G11&lt;&gt;"",E11=""),H11*H11*G11*VLOOKUP(D11,'KL RIENG'!$B$3:$C$1048576,2,0)*10^-6,IF(AND(H11&lt;&gt;0,I11&lt;&gt;0,G11=""),(H11*H11-I11*I11)*3.14*E11/4*VLOOKUP(D11,'KL RIENG'!$B$3:$C$1048576,2,0)*10^-6,IF(AND(G11&lt;&gt;0,H11&lt;&gt;0,I11=""),(H11*H11-((H11-2*G11)*(H11-2*G11)))*3.14*E11/4*VLOOKUP(D11,'KL RIENG'!$B$3:$C$1048576,2,0)*10^-6,G11*F11*E11*VLOOKUP(D11,'KL RIENG'!$B$3:$C$1048576,2,0)*10^-6)))))),VLOOKUP(F11,'THEP HINH'!$B$4:$E$1048576,3,0)*DMVT!E11*VLOOKUP(D11,'KL RIENG'!$B$3:$C$1048576,2,0)*10^-6)),"")</f>
        <v/>
      </c>
      <c r="M11" s="84" t="str">
        <f t="shared" si="1"/>
        <v/>
      </c>
      <c r="N11" s="84" t="e">
        <f t="shared" si="2"/>
        <v>#VALUE!</v>
      </c>
      <c r="O11" s="52"/>
      <c r="P11" s="52"/>
      <c r="Q11" s="52"/>
      <c r="R11" s="52"/>
      <c r="S11" s="52"/>
      <c r="T11" s="52"/>
      <c r="U11" s="52"/>
      <c r="V11" s="52"/>
      <c r="W11" s="52"/>
      <c r="X11" s="4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76"/>
      <c r="AO11" s="65"/>
      <c r="AP11" s="70">
        <v>7</v>
      </c>
      <c r="AQ11" s="71" t="str">
        <f t="shared" si="3"/>
        <v/>
      </c>
      <c r="AR11" s="71" t="str">
        <f t="shared" si="4"/>
        <v/>
      </c>
    </row>
    <row r="12" spans="1:44" s="1" customFormat="1" ht="42" customHeight="1">
      <c r="A12" s="81"/>
      <c r="B12" s="82"/>
      <c r="C12" s="76"/>
      <c r="D12" s="52"/>
      <c r="E12" s="52"/>
      <c r="F12" s="52"/>
      <c r="G12" s="52"/>
      <c r="H12" s="83"/>
      <c r="I12" s="83"/>
      <c r="J12" s="52"/>
      <c r="K12" s="52">
        <f t="shared" si="0"/>
        <v>0</v>
      </c>
      <c r="L12" s="84" t="str">
        <f>IFERROR((IFERROR(IF(MID(F12,3,1)="x",(LEFT(F12,2)*2+RIGHT(F12,2)*2-2*4*G12)*G12*E12*VLOOKUP(D12,'KL RIENG'!$B$3:$C$1048576,2,0)*10^-6,IF(AND(H12&lt;&gt;0,I12="",G12=""),H12*H12*E12*3.14/4*VLOOKUP(D12,'KL RIENG'!$B$3:$C$1048576,2,0)*10^-6,IF(AND(H12&lt;&gt;"",I12 ="",G12&lt;&gt;"",E12=""),H12*H12*G12*VLOOKUP(D12,'KL RIENG'!$B$3:$C$1048576,2,0)*10^-6,IF(AND(H12&lt;&gt;"",I12&lt;&gt;"",G12&lt;&gt;"",E12=""),H12*H12*G12*VLOOKUP(D12,'KL RIENG'!$B$3:$C$1048576,2,0)*10^-6,IF(AND(H12&lt;&gt;0,I12&lt;&gt;0,G12=""),(H12*H12-I12*I12)*3.14*E12/4*VLOOKUP(D12,'KL RIENG'!$B$3:$C$1048576,2,0)*10^-6,IF(AND(G12&lt;&gt;0,H12&lt;&gt;0,I12=""),(H12*H12-((H12-2*G12)*(H12-2*G12)))*3.14*E12/4*VLOOKUP(D12,'KL RIENG'!$B$3:$C$1048576,2,0)*10^-6,G12*F12*E12*VLOOKUP(D12,'KL RIENG'!$B$3:$C$1048576,2,0)*10^-6)))))),VLOOKUP(F12,'THEP HINH'!$B$4:$E$1048576,3,0)*DMVT!E12*VLOOKUP(D12,'KL RIENG'!$B$3:$C$1048576,2,0)*10^-6)),"")</f>
        <v/>
      </c>
      <c r="M12" s="84" t="str">
        <f t="shared" si="1"/>
        <v/>
      </c>
      <c r="N12" s="84" t="e">
        <f t="shared" si="2"/>
        <v>#VALUE!</v>
      </c>
      <c r="O12" s="52"/>
      <c r="P12" s="52"/>
      <c r="Q12" s="52"/>
      <c r="R12" s="52"/>
      <c r="S12" s="52"/>
      <c r="T12" s="52"/>
      <c r="U12" s="52"/>
      <c r="V12" s="52"/>
      <c r="W12" s="52"/>
      <c r="X12" s="4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76"/>
      <c r="AO12" s="65"/>
      <c r="AP12" s="70">
        <v>8</v>
      </c>
      <c r="AQ12" s="71" t="str">
        <f t="shared" si="3"/>
        <v/>
      </c>
      <c r="AR12" s="71" t="str">
        <f t="shared" si="4"/>
        <v/>
      </c>
    </row>
    <row r="13" spans="1:44" s="1" customFormat="1" ht="42" customHeight="1">
      <c r="A13" s="81"/>
      <c r="B13" s="82"/>
      <c r="C13" s="76"/>
      <c r="D13" s="52"/>
      <c r="E13" s="52"/>
      <c r="F13" s="52"/>
      <c r="G13" s="52"/>
      <c r="H13" s="83"/>
      <c r="I13" s="83"/>
      <c r="J13" s="52"/>
      <c r="K13" s="52">
        <f t="shared" si="0"/>
        <v>0</v>
      </c>
      <c r="L13" s="84" t="str">
        <f>IFERROR((IFERROR(IF(MID(F13,3,1)="x",(LEFT(F13,2)*2+RIGHT(F13,2)*2-2*4*G13)*G13*E13*VLOOKUP(D13,'KL RIENG'!$B$3:$C$1048576,2,0)*10^-6,IF(AND(H13&lt;&gt;0,I13="",G13=""),H13*H13*E13*3.14/4*VLOOKUP(D13,'KL RIENG'!$B$3:$C$1048576,2,0)*10^-6,IF(AND(H13&lt;&gt;"",I13 ="",G13&lt;&gt;"",E13=""),H13*H13*G13*VLOOKUP(D13,'KL RIENG'!$B$3:$C$1048576,2,0)*10^-6,IF(AND(H13&lt;&gt;"",I13&lt;&gt;"",G13&lt;&gt;"",E13=""),H13*H13*G13*VLOOKUP(D13,'KL RIENG'!$B$3:$C$1048576,2,0)*10^-6,IF(AND(H13&lt;&gt;0,I13&lt;&gt;0,G13=""),(H13*H13-I13*I13)*3.14*E13/4*VLOOKUP(D13,'KL RIENG'!$B$3:$C$1048576,2,0)*10^-6,IF(AND(G13&lt;&gt;0,H13&lt;&gt;0,I13=""),(H13*H13-((H13-2*G13)*(H13-2*G13)))*3.14*E13/4*VLOOKUP(D13,'KL RIENG'!$B$3:$C$1048576,2,0)*10^-6,G13*F13*E13*VLOOKUP(D13,'KL RIENG'!$B$3:$C$1048576,2,0)*10^-6)))))),VLOOKUP(F13,'THEP HINH'!$B$4:$E$1048576,3,0)*DMVT!E13*VLOOKUP(D13,'KL RIENG'!$B$3:$C$1048576,2,0)*10^-6)),"")</f>
        <v/>
      </c>
      <c r="M13" s="84" t="str">
        <f t="shared" si="1"/>
        <v/>
      </c>
      <c r="N13" s="84" t="e">
        <f t="shared" si="2"/>
        <v>#VALUE!</v>
      </c>
      <c r="O13" s="52"/>
      <c r="P13" s="52"/>
      <c r="Q13" s="52"/>
      <c r="R13" s="52"/>
      <c r="S13" s="52"/>
      <c r="T13" s="52"/>
      <c r="U13" s="52"/>
      <c r="V13" s="52"/>
      <c r="W13" s="52"/>
      <c r="X13" s="4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76"/>
      <c r="AO13" s="65"/>
      <c r="AP13" s="70">
        <v>9</v>
      </c>
      <c r="AQ13" s="71" t="str">
        <f t="shared" si="3"/>
        <v/>
      </c>
      <c r="AR13" s="71" t="str">
        <f t="shared" si="4"/>
        <v/>
      </c>
    </row>
    <row r="14" spans="1:44" s="1" customFormat="1" ht="42" customHeight="1">
      <c r="A14" s="81"/>
      <c r="B14" s="82"/>
      <c r="C14" s="76"/>
      <c r="D14" s="52"/>
      <c r="E14" s="52"/>
      <c r="F14" s="52"/>
      <c r="G14" s="52"/>
      <c r="H14" s="83"/>
      <c r="I14" s="83"/>
      <c r="J14" s="52"/>
      <c r="K14" s="52">
        <f t="shared" si="0"/>
        <v>0</v>
      </c>
      <c r="L14" s="84" t="str">
        <f>IFERROR((IFERROR(IF(MID(F14,3,1)="x",(LEFT(F14,2)*2+RIGHT(F14,2)*2-2*4*G14)*G14*E14*VLOOKUP(D14,'KL RIENG'!$B$3:$C$1048576,2,0)*10^-6,IF(AND(H14&lt;&gt;0,I14="",G14=""),H14*H14*E14*3.14/4*VLOOKUP(D14,'KL RIENG'!$B$3:$C$1048576,2,0)*10^-6,IF(AND(H14&lt;&gt;"",I14 ="",G14&lt;&gt;"",E14=""),H14*H14*G14*VLOOKUP(D14,'KL RIENG'!$B$3:$C$1048576,2,0)*10^-6,IF(AND(H14&lt;&gt;"",I14&lt;&gt;"",G14&lt;&gt;"",E14=""),H14*H14*G14*VLOOKUP(D14,'KL RIENG'!$B$3:$C$1048576,2,0)*10^-6,IF(AND(H14&lt;&gt;0,I14&lt;&gt;0,G14=""),(H14*H14-I14*I14)*3.14*E14/4*VLOOKUP(D14,'KL RIENG'!$B$3:$C$1048576,2,0)*10^-6,IF(AND(G14&lt;&gt;0,H14&lt;&gt;0,I14=""),(H14*H14-((H14-2*G14)*(H14-2*G14)))*3.14*E14/4*VLOOKUP(D14,'KL RIENG'!$B$3:$C$1048576,2,0)*10^-6,G14*F14*E14*VLOOKUP(D14,'KL RIENG'!$B$3:$C$1048576,2,0)*10^-6)))))),VLOOKUP(F14,'THEP HINH'!$B$4:$E$1048576,3,0)*DMVT!E14*VLOOKUP(D14,'KL RIENG'!$B$3:$C$1048576,2,0)*10^-6)),"")</f>
        <v/>
      </c>
      <c r="M14" s="84" t="str">
        <f t="shared" si="1"/>
        <v/>
      </c>
      <c r="N14" s="84" t="e">
        <f t="shared" si="2"/>
        <v>#VALUE!</v>
      </c>
      <c r="O14" s="52"/>
      <c r="P14" s="52"/>
      <c r="Q14" s="52"/>
      <c r="R14" s="52"/>
      <c r="S14" s="52"/>
      <c r="T14" s="52"/>
      <c r="U14" s="52"/>
      <c r="V14" s="52"/>
      <c r="W14" s="52"/>
      <c r="X14" s="4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76"/>
      <c r="AO14" s="65"/>
      <c r="AP14" s="70">
        <v>10</v>
      </c>
      <c r="AQ14" s="71" t="str">
        <f t="shared" si="3"/>
        <v/>
      </c>
      <c r="AR14" s="71" t="str">
        <f t="shared" si="4"/>
        <v/>
      </c>
    </row>
    <row r="15" spans="1:44" s="1" customFormat="1" ht="42" customHeight="1">
      <c r="A15" s="81"/>
      <c r="B15" s="82"/>
      <c r="C15" s="76"/>
      <c r="D15" s="52"/>
      <c r="E15" s="52"/>
      <c r="F15" s="52"/>
      <c r="G15" s="52"/>
      <c r="H15" s="83"/>
      <c r="I15" s="83"/>
      <c r="J15" s="52"/>
      <c r="K15" s="52">
        <f t="shared" si="0"/>
        <v>0</v>
      </c>
      <c r="L15" s="84" t="str">
        <f>IFERROR((IFERROR(IF(MID(F15,3,1)="x",(LEFT(F15,2)*2+RIGHT(F15,2)*2-2*4*G15)*G15*E15*VLOOKUP(D15,'KL RIENG'!$B$3:$C$1048576,2,0)*10^-6,IF(AND(H15&lt;&gt;0,I15="",G15=""),H15*H15*E15*3.14/4*VLOOKUP(D15,'KL RIENG'!$B$3:$C$1048576,2,0)*10^-6,IF(AND(H15&lt;&gt;"",I15 ="",G15&lt;&gt;"",E15=""),H15*H15*G15*VLOOKUP(D15,'KL RIENG'!$B$3:$C$1048576,2,0)*10^-6,IF(AND(H15&lt;&gt;"",I15&lt;&gt;"",G15&lt;&gt;"",E15=""),H15*H15*G15*VLOOKUP(D15,'KL RIENG'!$B$3:$C$1048576,2,0)*10^-6,IF(AND(H15&lt;&gt;0,I15&lt;&gt;0,G15=""),(H15*H15-I15*I15)*3.14*E15/4*VLOOKUP(D15,'KL RIENG'!$B$3:$C$1048576,2,0)*10^-6,IF(AND(G15&lt;&gt;0,H15&lt;&gt;0,I15=""),(H15*H15-((H15-2*G15)*(H15-2*G15)))*3.14*E15/4*VLOOKUP(D15,'KL RIENG'!$B$3:$C$1048576,2,0)*10^-6,G15*F15*E15*VLOOKUP(D15,'KL RIENG'!$B$3:$C$1048576,2,0)*10^-6)))))),VLOOKUP(F15,'THEP HINH'!$B$4:$E$1048576,3,0)*DMVT!E15*VLOOKUP(D15,'KL RIENG'!$B$3:$C$1048576,2,0)*10^-6)),"")</f>
        <v/>
      </c>
      <c r="M15" s="84" t="str">
        <f t="shared" si="1"/>
        <v/>
      </c>
      <c r="N15" s="84" t="e">
        <f t="shared" si="2"/>
        <v>#VALUE!</v>
      </c>
      <c r="O15" s="52"/>
      <c r="P15" s="52"/>
      <c r="Q15" s="52"/>
      <c r="R15" s="52"/>
      <c r="S15" s="52"/>
      <c r="T15" s="52"/>
      <c r="U15" s="52"/>
      <c r="V15" s="52"/>
      <c r="W15" s="52"/>
      <c r="X15" s="4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76"/>
      <c r="AO15" s="65"/>
      <c r="AP15" s="70">
        <v>8</v>
      </c>
      <c r="AQ15" s="71" t="str">
        <f t="shared" ref="AQ15" si="5">IF(LEN(CONCATENATE(O15))&gt;0,"X","")</f>
        <v/>
      </c>
      <c r="AR15" s="71" t="str">
        <f t="shared" ref="AR15" si="6">IF(LEN(CONCATENATE(P15))&gt;0,"X","")</f>
        <v/>
      </c>
    </row>
    <row r="16" spans="1:44" s="1" customFormat="1" ht="42" customHeight="1">
      <c r="A16" s="81"/>
      <c r="B16" s="82"/>
      <c r="C16" s="76"/>
      <c r="D16" s="52"/>
      <c r="E16" s="52"/>
      <c r="F16" s="52"/>
      <c r="G16" s="52"/>
      <c r="H16" s="83"/>
      <c r="I16" s="83"/>
      <c r="J16" s="52"/>
      <c r="K16" s="52">
        <f t="shared" si="0"/>
        <v>0</v>
      </c>
      <c r="L16" s="84" t="str">
        <f>IFERROR((IFERROR(IF(MID(F16,3,1)="x",(LEFT(F16,2)*2+RIGHT(F16,2)*2-2*4*G16)*G16*E16*VLOOKUP(D16,'KL RIENG'!$B$3:$C$1048576,2,0)*10^-6,IF(AND(H16&lt;&gt;0,I16="",G16=""),H16*H16*E16*3.14/4*VLOOKUP(D16,'KL RIENG'!$B$3:$C$1048576,2,0)*10^-6,IF(AND(H16&lt;&gt;"",I16 ="",G16&lt;&gt;"",E16=""),H16*H16*G16*VLOOKUP(D16,'KL RIENG'!$B$3:$C$1048576,2,0)*10^-6,IF(AND(H16&lt;&gt;"",I16&lt;&gt;"",G16&lt;&gt;"",E16=""),H16*H16*G16*VLOOKUP(D16,'KL RIENG'!$B$3:$C$1048576,2,0)*10^-6,IF(AND(H16&lt;&gt;0,I16&lt;&gt;0,G16=""),(H16*H16-I16*I16)*3.14*E16/4*VLOOKUP(D16,'KL RIENG'!$B$3:$C$1048576,2,0)*10^-6,IF(AND(G16&lt;&gt;0,H16&lt;&gt;0,I16=""),(H16*H16-((H16-2*G16)*(H16-2*G16)))*3.14*E16/4*VLOOKUP(D16,'KL RIENG'!$B$3:$C$1048576,2,0)*10^-6,G16*F16*E16*VLOOKUP(D16,'KL RIENG'!$B$3:$C$1048576,2,0)*10^-6)))))),VLOOKUP(F16,'THEP HINH'!$B$4:$E$1048576,3,0)*DMVT!E16*VLOOKUP(D16,'KL RIENG'!$B$3:$C$1048576,2,0)*10^-6)),"")</f>
        <v/>
      </c>
      <c r="M16" s="84" t="str">
        <f t="shared" ref="M16:M30" si="7">IFERROR(J16*L16,"")</f>
        <v/>
      </c>
      <c r="N16" s="84" t="e">
        <f t="shared" si="2"/>
        <v>#VALUE!</v>
      </c>
      <c r="O16" s="52"/>
      <c r="P16" s="52"/>
      <c r="Q16" s="52"/>
      <c r="R16" s="52"/>
      <c r="S16" s="52"/>
      <c r="T16" s="52"/>
      <c r="U16" s="52"/>
      <c r="V16" s="52"/>
      <c r="W16" s="52"/>
      <c r="X16" s="4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76"/>
      <c r="AO16" s="65"/>
      <c r="AP16" s="70">
        <v>32</v>
      </c>
      <c r="AQ16" s="71" t="str">
        <f t="shared" si="3"/>
        <v/>
      </c>
      <c r="AR16" s="71" t="str">
        <f t="shared" si="4"/>
        <v/>
      </c>
    </row>
    <row r="17" spans="1:44" s="1" customFormat="1" ht="42" customHeight="1">
      <c r="A17" s="81"/>
      <c r="B17" s="82"/>
      <c r="C17" s="76"/>
      <c r="D17" s="52"/>
      <c r="E17" s="52"/>
      <c r="F17" s="52"/>
      <c r="G17" s="52"/>
      <c r="H17" s="83"/>
      <c r="I17" s="83"/>
      <c r="J17" s="52"/>
      <c r="K17" s="52">
        <f t="shared" si="0"/>
        <v>0</v>
      </c>
      <c r="L17" s="84" t="str">
        <f>IFERROR((IFERROR(IF(MID(F17,3,1)="x",(LEFT(F17,2)*2+RIGHT(F17,2)*2-2*4*G17)*G17*E17*VLOOKUP(D17,'KL RIENG'!$B$3:$C$1048576,2,0)*10^-6,IF(AND(H17&lt;&gt;0,I17="",G17=""),H17*H17*E17*3.14/4*VLOOKUP(D17,'KL RIENG'!$B$3:$C$1048576,2,0)*10^-6,IF(AND(H17&lt;&gt;"",I17 ="",G17&lt;&gt;"",E17=""),H17*H17*G17*VLOOKUP(D17,'KL RIENG'!$B$3:$C$1048576,2,0)*10^-6,IF(AND(H17&lt;&gt;"",I17&lt;&gt;"",G17&lt;&gt;"",E17=""),H17*H17*G17*VLOOKUP(D17,'KL RIENG'!$B$3:$C$1048576,2,0)*10^-6,IF(AND(H17&lt;&gt;0,I17&lt;&gt;0,G17=""),(H17*H17-I17*I17)*3.14*E17/4*VLOOKUP(D17,'KL RIENG'!$B$3:$C$1048576,2,0)*10^-6,IF(AND(G17&lt;&gt;0,H17&lt;&gt;0,I17=""),(H17*H17-((H17-2*G17)*(H17-2*G17)))*3.14*E17/4*VLOOKUP(D17,'KL RIENG'!$B$3:$C$1048576,2,0)*10^-6,G17*F17*E17*VLOOKUP(D17,'KL RIENG'!$B$3:$C$1048576,2,0)*10^-6)))))),VLOOKUP(F17,'THEP HINH'!$B$4:$E$1048576,3,0)*DMVT!E17*VLOOKUP(D17,'KL RIENG'!$B$3:$C$1048576,2,0)*10^-6)),"")</f>
        <v/>
      </c>
      <c r="M17" s="84" t="str">
        <f t="shared" si="7"/>
        <v/>
      </c>
      <c r="N17" s="84" t="e">
        <f t="shared" si="2"/>
        <v>#VALUE!</v>
      </c>
      <c r="O17" s="52"/>
      <c r="P17" s="52"/>
      <c r="Q17" s="52"/>
      <c r="R17" s="52"/>
      <c r="S17" s="52"/>
      <c r="T17" s="52"/>
      <c r="U17" s="52"/>
      <c r="V17" s="52"/>
      <c r="W17" s="52"/>
      <c r="X17" s="4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76"/>
      <c r="AO17" s="65"/>
      <c r="AP17" s="70">
        <v>33</v>
      </c>
      <c r="AQ17" s="71" t="str">
        <f t="shared" si="3"/>
        <v/>
      </c>
      <c r="AR17" s="71" t="str">
        <f t="shared" si="4"/>
        <v/>
      </c>
    </row>
    <row r="18" spans="1:44" s="1" customFormat="1" ht="42" customHeight="1">
      <c r="A18" s="81"/>
      <c r="B18" s="82"/>
      <c r="C18" s="76"/>
      <c r="D18" s="52"/>
      <c r="E18" s="52"/>
      <c r="F18" s="52"/>
      <c r="G18" s="52"/>
      <c r="H18" s="83"/>
      <c r="I18" s="83"/>
      <c r="J18" s="52"/>
      <c r="K18" s="52">
        <f t="shared" si="0"/>
        <v>0</v>
      </c>
      <c r="L18" s="84" t="str">
        <f>IFERROR((IFERROR(IF(MID(F18,3,1)="x",(LEFT(F18,2)*2+RIGHT(F18,2)*2-2*4*G18)*G18*E18*VLOOKUP(D18,'KL RIENG'!$B$3:$C$1048576,2,0)*10^-6,IF(AND(H18&lt;&gt;0,I18="",G18=""),H18*H18*E18*3.14/4*VLOOKUP(D18,'KL RIENG'!$B$3:$C$1048576,2,0)*10^-6,IF(AND(H18&lt;&gt;"",I18 ="",G18&lt;&gt;"",E18=""),H18*H18*G18*VLOOKUP(D18,'KL RIENG'!$B$3:$C$1048576,2,0)*10^-6,IF(AND(H18&lt;&gt;"",I18&lt;&gt;"",G18&lt;&gt;"",E18=""),H18*H18*G18*VLOOKUP(D18,'KL RIENG'!$B$3:$C$1048576,2,0)*10^-6,IF(AND(H18&lt;&gt;0,I18&lt;&gt;0,G18=""),(H18*H18-I18*I18)*3.14*E18/4*VLOOKUP(D18,'KL RIENG'!$B$3:$C$1048576,2,0)*10^-6,IF(AND(G18&lt;&gt;0,H18&lt;&gt;0,I18=""),(H18*H18-((H18-2*G18)*(H18-2*G18)))*3.14*E18/4*VLOOKUP(D18,'KL RIENG'!$B$3:$C$1048576,2,0)*10^-6,G18*F18*E18*VLOOKUP(D18,'KL RIENG'!$B$3:$C$1048576,2,0)*10^-6)))))),VLOOKUP(F18,'THEP HINH'!$B$4:$E$1048576,3,0)*DMVT!E18*VLOOKUP(D18,'KL RIENG'!$B$3:$C$1048576,2,0)*10^-6)),"")</f>
        <v/>
      </c>
      <c r="M18" s="84" t="str">
        <f t="shared" si="7"/>
        <v/>
      </c>
      <c r="N18" s="84" t="e">
        <f t="shared" si="2"/>
        <v>#VALUE!</v>
      </c>
      <c r="O18" s="52"/>
      <c r="P18" s="52"/>
      <c r="Q18" s="52"/>
      <c r="R18" s="52"/>
      <c r="S18" s="52"/>
      <c r="T18" s="52"/>
      <c r="U18" s="52"/>
      <c r="V18" s="52"/>
      <c r="W18" s="52"/>
      <c r="X18" s="4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76"/>
      <c r="AO18" s="65"/>
      <c r="AP18" s="70">
        <v>34</v>
      </c>
      <c r="AQ18" s="71" t="str">
        <f t="shared" si="3"/>
        <v/>
      </c>
      <c r="AR18" s="71" t="str">
        <f t="shared" si="4"/>
        <v/>
      </c>
    </row>
    <row r="19" spans="1:44" s="1" customFormat="1" ht="42" customHeight="1">
      <c r="A19" s="81"/>
      <c r="B19" s="82"/>
      <c r="C19" s="76"/>
      <c r="D19" s="52"/>
      <c r="E19" s="52"/>
      <c r="F19" s="52"/>
      <c r="G19" s="52"/>
      <c r="H19" s="83"/>
      <c r="I19" s="83"/>
      <c r="J19" s="52"/>
      <c r="K19" s="52">
        <f t="shared" si="0"/>
        <v>0</v>
      </c>
      <c r="L19" s="84" t="str">
        <f>IFERROR((IFERROR(IF(MID(F19,3,1)="x",(LEFT(F19,2)*2+RIGHT(F19,2)*2-2*4*G19)*G19*E19*VLOOKUP(D19,'KL RIENG'!$B$3:$C$1048576,2,0)*10^-6,IF(AND(H19&lt;&gt;0,I19="",G19=""),H19*H19*E19*3.14/4*VLOOKUP(D19,'KL RIENG'!$B$3:$C$1048576,2,0)*10^-6,IF(AND(H19&lt;&gt;"",I19 ="",G19&lt;&gt;"",E19=""),H19*H19*G19*VLOOKUP(D19,'KL RIENG'!$B$3:$C$1048576,2,0)*10^-6,IF(AND(H19&lt;&gt;"",I19&lt;&gt;"",G19&lt;&gt;"",E19=""),H19*H19*G19*VLOOKUP(D19,'KL RIENG'!$B$3:$C$1048576,2,0)*10^-6,IF(AND(H19&lt;&gt;0,I19&lt;&gt;0,G19=""),(H19*H19-I19*I19)*3.14*E19/4*VLOOKUP(D19,'KL RIENG'!$B$3:$C$1048576,2,0)*10^-6,IF(AND(G19&lt;&gt;0,H19&lt;&gt;0,I19=""),(H19*H19-((H19-2*G19)*(H19-2*G19)))*3.14*E19/4*VLOOKUP(D19,'KL RIENG'!$B$3:$C$1048576,2,0)*10^-6,G19*F19*E19*VLOOKUP(D19,'KL RIENG'!$B$3:$C$1048576,2,0)*10^-6)))))),VLOOKUP(F19,'THEP HINH'!$B$4:$E$1048576,3,0)*DMVT!E19*VLOOKUP(D19,'KL RIENG'!$B$3:$C$1048576,2,0)*10^-6)),"")</f>
        <v/>
      </c>
      <c r="M19" s="84" t="str">
        <f t="shared" si="7"/>
        <v/>
      </c>
      <c r="N19" s="84" t="e">
        <f t="shared" si="2"/>
        <v>#VALUE!</v>
      </c>
      <c r="O19" s="52"/>
      <c r="P19" s="52"/>
      <c r="Q19" s="52"/>
      <c r="R19" s="52"/>
      <c r="S19" s="52"/>
      <c r="T19" s="52"/>
      <c r="U19" s="52"/>
      <c r="V19" s="52"/>
      <c r="W19" s="52"/>
      <c r="X19" s="4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76"/>
      <c r="AO19" s="65"/>
      <c r="AP19" s="70">
        <v>35</v>
      </c>
      <c r="AQ19" s="71" t="str">
        <f t="shared" si="3"/>
        <v/>
      </c>
      <c r="AR19" s="71" t="str">
        <f t="shared" si="4"/>
        <v/>
      </c>
    </row>
    <row r="20" spans="1:44" s="1" customFormat="1" ht="42" customHeight="1">
      <c r="A20" s="81"/>
      <c r="B20" s="82"/>
      <c r="C20" s="76"/>
      <c r="D20" s="52"/>
      <c r="E20" s="52"/>
      <c r="F20" s="52"/>
      <c r="G20" s="52"/>
      <c r="H20" s="83"/>
      <c r="I20" s="83"/>
      <c r="J20" s="52"/>
      <c r="K20" s="52">
        <f t="shared" si="0"/>
        <v>0</v>
      </c>
      <c r="L20" s="84" t="str">
        <f>IFERROR((IFERROR(IF(MID(F20,3,1)="x",(LEFT(F20,2)*2+RIGHT(F20,2)*2-2*4*G20)*G20*E20*VLOOKUP(D20,'KL RIENG'!$B$3:$C$1048576,2,0)*10^-6,IF(AND(H20&lt;&gt;0,I20="",G20=""),H20*H20*E20*3.14/4*VLOOKUP(D20,'KL RIENG'!$B$3:$C$1048576,2,0)*10^-6,IF(AND(H20&lt;&gt;"",I20 ="",G20&lt;&gt;"",E20=""),H20*H20*G20*VLOOKUP(D20,'KL RIENG'!$B$3:$C$1048576,2,0)*10^-6,IF(AND(H20&lt;&gt;"",I20&lt;&gt;"",G20&lt;&gt;"",E20=""),H20*H20*G20*VLOOKUP(D20,'KL RIENG'!$B$3:$C$1048576,2,0)*10^-6,IF(AND(H20&lt;&gt;0,I20&lt;&gt;0,G20=""),(H20*H20-I20*I20)*3.14*E20/4*VLOOKUP(D20,'KL RIENG'!$B$3:$C$1048576,2,0)*10^-6,IF(AND(G20&lt;&gt;0,H20&lt;&gt;0,I20=""),(H20*H20-((H20-2*G20)*(H20-2*G20)))*3.14*E20/4*VLOOKUP(D20,'KL RIENG'!$B$3:$C$1048576,2,0)*10^-6,G20*F20*E20*VLOOKUP(D20,'KL RIENG'!$B$3:$C$1048576,2,0)*10^-6)))))),VLOOKUP(F20,'THEP HINH'!$B$4:$E$1048576,3,0)*DMVT!E20*VLOOKUP(D20,'KL RIENG'!$B$3:$C$1048576,2,0)*10^-6)),"")</f>
        <v/>
      </c>
      <c r="M20" s="84" t="str">
        <f t="shared" si="7"/>
        <v/>
      </c>
      <c r="N20" s="84" t="e">
        <f t="shared" si="2"/>
        <v>#VALUE!</v>
      </c>
      <c r="O20" s="52"/>
      <c r="P20" s="52"/>
      <c r="Q20" s="52"/>
      <c r="R20" s="52"/>
      <c r="S20" s="52"/>
      <c r="T20" s="52"/>
      <c r="U20" s="52"/>
      <c r="V20" s="52"/>
      <c r="W20" s="52"/>
      <c r="X20" s="4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76"/>
      <c r="AO20" s="65"/>
      <c r="AP20" s="70">
        <v>36</v>
      </c>
      <c r="AQ20" s="71" t="str">
        <f t="shared" si="3"/>
        <v/>
      </c>
      <c r="AR20" s="71" t="str">
        <f t="shared" si="4"/>
        <v/>
      </c>
    </row>
    <row r="21" spans="1:44" s="1" customFormat="1" ht="42" customHeight="1">
      <c r="A21" s="81"/>
      <c r="B21" s="82"/>
      <c r="C21" s="76"/>
      <c r="D21" s="52"/>
      <c r="E21" s="52"/>
      <c r="F21" s="52"/>
      <c r="G21" s="52"/>
      <c r="H21" s="83"/>
      <c r="I21" s="83"/>
      <c r="J21" s="52"/>
      <c r="K21" s="52">
        <f t="shared" si="0"/>
        <v>0</v>
      </c>
      <c r="L21" s="84" t="str">
        <f>IFERROR((IFERROR(IF(MID(F21,3,1)="x",(LEFT(F21,2)*2+RIGHT(F21,2)*2-2*4*G21)*G21*E21*VLOOKUP(D21,'KL RIENG'!$B$3:$C$1048576,2,0)*10^-6,IF(AND(H21&lt;&gt;0,I21="",G21=""),H21*H21*E21*3.14/4*VLOOKUP(D21,'KL RIENG'!$B$3:$C$1048576,2,0)*10^-6,IF(AND(H21&lt;&gt;"",I21 ="",G21&lt;&gt;"",E21=""),H21*H21*G21*VLOOKUP(D21,'KL RIENG'!$B$3:$C$1048576,2,0)*10^-6,IF(AND(H21&lt;&gt;"",I21&lt;&gt;"",G21&lt;&gt;"",E21=""),H21*H21*G21*VLOOKUP(D21,'KL RIENG'!$B$3:$C$1048576,2,0)*10^-6,IF(AND(H21&lt;&gt;0,I21&lt;&gt;0,G21=""),(H21*H21-I21*I21)*3.14*E21/4*VLOOKUP(D21,'KL RIENG'!$B$3:$C$1048576,2,0)*10^-6,IF(AND(G21&lt;&gt;0,H21&lt;&gt;0,I21=""),(H21*H21-((H21-2*G21)*(H21-2*G21)))*3.14*E21/4*VLOOKUP(D21,'KL RIENG'!$B$3:$C$1048576,2,0)*10^-6,G21*F21*E21*VLOOKUP(D21,'KL RIENG'!$B$3:$C$1048576,2,0)*10^-6)))))),VLOOKUP(F21,'THEP HINH'!$B$4:$E$1048576,3,0)*DMVT!E21*VLOOKUP(D21,'KL RIENG'!$B$3:$C$1048576,2,0)*10^-6)),"")</f>
        <v/>
      </c>
      <c r="M21" s="84" t="str">
        <f t="shared" si="7"/>
        <v/>
      </c>
      <c r="N21" s="84" t="e">
        <f t="shared" si="2"/>
        <v>#VALUE!</v>
      </c>
      <c r="O21" s="52"/>
      <c r="P21" s="52"/>
      <c r="Q21" s="52"/>
      <c r="R21" s="52"/>
      <c r="S21" s="52"/>
      <c r="T21" s="52"/>
      <c r="U21" s="52"/>
      <c r="V21" s="52"/>
      <c r="W21" s="52"/>
      <c r="X21" s="4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76"/>
      <c r="AO21" s="65"/>
      <c r="AP21" s="70">
        <v>37</v>
      </c>
      <c r="AQ21" s="71" t="str">
        <f t="shared" si="3"/>
        <v/>
      </c>
      <c r="AR21" s="71" t="str">
        <f t="shared" si="4"/>
        <v/>
      </c>
    </row>
    <row r="22" spans="1:44" s="1" customFormat="1" ht="42" customHeight="1">
      <c r="A22" s="81"/>
      <c r="B22" s="82"/>
      <c r="C22" s="76"/>
      <c r="D22" s="52"/>
      <c r="E22" s="52"/>
      <c r="F22" s="52"/>
      <c r="G22" s="52"/>
      <c r="H22" s="83"/>
      <c r="I22" s="83"/>
      <c r="J22" s="52"/>
      <c r="K22" s="52">
        <f t="shared" ref="K22:K36" si="8">J22</f>
        <v>0</v>
      </c>
      <c r="L22" s="84" t="str">
        <f>IFERROR((IFERROR(IF(MID(F22,3,1)="x",(LEFT(F22,2)*2+RIGHT(F22,2)*2-2*4*G22)*G22*E22*VLOOKUP(D22,'KL RIENG'!$B$3:$C$1048576,2,0)*10^-6,IF(AND(H22&lt;&gt;0,I22="",G22=""),H22*H22*E22*3.14/4*VLOOKUP(D22,'KL RIENG'!$B$3:$C$1048576,2,0)*10^-6,IF(AND(H22&lt;&gt;"",I22 ="",G22&lt;&gt;"",E22=""),H22*H22*G22*VLOOKUP(D22,'KL RIENG'!$B$3:$C$1048576,2,0)*10^-6,IF(AND(H22&lt;&gt;"",I22&lt;&gt;"",G22&lt;&gt;"",E22=""),H22*H22*G22*VLOOKUP(D22,'KL RIENG'!$B$3:$C$1048576,2,0)*10^-6,IF(AND(H22&lt;&gt;0,I22&lt;&gt;0,G22=""),(H22*H22-I22*I22)*3.14*E22/4*VLOOKUP(D22,'KL RIENG'!$B$3:$C$1048576,2,0)*10^-6,IF(AND(G22&lt;&gt;0,H22&lt;&gt;0,I22=""),(H22*H22-((H22-2*G22)*(H22-2*G22)))*3.14*E22/4*VLOOKUP(D22,'KL RIENG'!$B$3:$C$1048576,2,0)*10^-6,G22*F22*E22*VLOOKUP(D22,'KL RIENG'!$B$3:$C$1048576,2,0)*10^-6)))))),VLOOKUP(F22,'THEP HINH'!$B$4:$E$1048576,3,0)*DMVT!E22*VLOOKUP(D22,'KL RIENG'!$B$3:$C$1048576,2,0)*10^-6)),"")</f>
        <v/>
      </c>
      <c r="M22" s="84" t="str">
        <f t="shared" si="7"/>
        <v/>
      </c>
      <c r="N22" s="84" t="e">
        <f t="shared" ref="N22:N36" si="9">L22*K22</f>
        <v>#VALUE!</v>
      </c>
      <c r="O22" s="52"/>
      <c r="P22" s="52"/>
      <c r="Q22" s="52"/>
      <c r="R22" s="52"/>
      <c r="S22" s="52"/>
      <c r="T22" s="52"/>
      <c r="U22" s="52"/>
      <c r="V22" s="52"/>
      <c r="W22" s="52"/>
      <c r="X22" s="4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76"/>
      <c r="AO22" s="65"/>
      <c r="AP22" s="70">
        <v>3</v>
      </c>
      <c r="AQ22" s="71" t="str">
        <f t="shared" ref="AQ22:AQ36" si="10">IF(LEN(CONCATENATE(O22))&gt;0,"X","")</f>
        <v/>
      </c>
      <c r="AR22" s="71" t="str">
        <f t="shared" ref="AR22:AR36" si="11">IF(LEN(CONCATENATE(P22))&gt;0,"X","")</f>
        <v/>
      </c>
    </row>
    <row r="23" spans="1:44" s="1" customFormat="1" ht="42" customHeight="1">
      <c r="A23" s="81"/>
      <c r="B23" s="82"/>
      <c r="C23" s="76"/>
      <c r="D23" s="52"/>
      <c r="E23" s="52"/>
      <c r="F23" s="52"/>
      <c r="G23" s="52"/>
      <c r="H23" s="83"/>
      <c r="I23" s="83"/>
      <c r="J23" s="52"/>
      <c r="K23" s="52">
        <f t="shared" si="8"/>
        <v>0</v>
      </c>
      <c r="L23" s="84" t="str">
        <f>IFERROR((IFERROR(IF(MID(F23,3,1)="x",(LEFT(F23,2)*2+RIGHT(F23,2)*2-2*4*G23)*G23*E23*VLOOKUP(D23,'KL RIENG'!$B$3:$C$1048576,2,0)*10^-6,IF(AND(H23&lt;&gt;0,I23="",G23=""),H23*H23*E23*3.14/4*VLOOKUP(D23,'KL RIENG'!$B$3:$C$1048576,2,0)*10^-6,IF(AND(H23&lt;&gt;"",I23 ="",G23&lt;&gt;"",E23=""),H23*H23*G23*VLOOKUP(D23,'KL RIENG'!$B$3:$C$1048576,2,0)*10^-6,IF(AND(H23&lt;&gt;"",I23&lt;&gt;"",G23&lt;&gt;"",E23=""),H23*H23*G23*VLOOKUP(D23,'KL RIENG'!$B$3:$C$1048576,2,0)*10^-6,IF(AND(H23&lt;&gt;0,I23&lt;&gt;0,G23=""),(H23*H23-I23*I23)*3.14*E23/4*VLOOKUP(D23,'KL RIENG'!$B$3:$C$1048576,2,0)*10^-6,IF(AND(G23&lt;&gt;0,H23&lt;&gt;0,I23=""),(H23*H23-((H23-2*G23)*(H23-2*G23)))*3.14*E23/4*VLOOKUP(D23,'KL RIENG'!$B$3:$C$1048576,2,0)*10^-6,G23*F23*E23*VLOOKUP(D23,'KL RIENG'!$B$3:$C$1048576,2,0)*10^-6)))))),VLOOKUP(F23,'THEP HINH'!$B$4:$E$1048576,3,0)*DMVT!E23*VLOOKUP(D23,'KL RIENG'!$B$3:$C$1048576,2,0)*10^-6)),"")</f>
        <v/>
      </c>
      <c r="M23" s="84" t="str">
        <f t="shared" si="7"/>
        <v/>
      </c>
      <c r="N23" s="84" t="e">
        <f t="shared" si="9"/>
        <v>#VALUE!</v>
      </c>
      <c r="O23" s="52"/>
      <c r="P23" s="52"/>
      <c r="Q23" s="52"/>
      <c r="R23" s="52"/>
      <c r="S23" s="52"/>
      <c r="T23" s="52"/>
      <c r="U23" s="52"/>
      <c r="V23" s="52"/>
      <c r="W23" s="52"/>
      <c r="X23" s="4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76"/>
      <c r="AO23" s="65"/>
      <c r="AP23" s="70">
        <v>4</v>
      </c>
      <c r="AQ23" s="71" t="str">
        <f t="shared" si="10"/>
        <v/>
      </c>
      <c r="AR23" s="71" t="str">
        <f t="shared" si="11"/>
        <v/>
      </c>
    </row>
    <row r="24" spans="1:44" s="1" customFormat="1" ht="42" customHeight="1">
      <c r="A24" s="81"/>
      <c r="B24" s="82"/>
      <c r="C24" s="76"/>
      <c r="D24" s="52"/>
      <c r="E24" s="52"/>
      <c r="F24" s="52"/>
      <c r="G24" s="52"/>
      <c r="H24" s="83"/>
      <c r="I24" s="83"/>
      <c r="J24" s="52"/>
      <c r="K24" s="52">
        <f t="shared" si="8"/>
        <v>0</v>
      </c>
      <c r="L24" s="84" t="str">
        <f>IFERROR((IFERROR(IF(MID(F24,3,1)="x",(LEFT(F24,2)*2+RIGHT(F24,2)*2-2*4*G24)*G24*E24*VLOOKUP(D24,'KL RIENG'!$B$3:$C$1048576,2,0)*10^-6,IF(AND(H24&lt;&gt;0,I24="",G24=""),H24*H24*E24*3.14/4*VLOOKUP(D24,'KL RIENG'!$B$3:$C$1048576,2,0)*10^-6,IF(AND(H24&lt;&gt;"",I24 ="",G24&lt;&gt;"",E24=""),H24*H24*G24*VLOOKUP(D24,'KL RIENG'!$B$3:$C$1048576,2,0)*10^-6,IF(AND(H24&lt;&gt;"",I24&lt;&gt;"",G24&lt;&gt;"",E24=""),H24*H24*G24*VLOOKUP(D24,'KL RIENG'!$B$3:$C$1048576,2,0)*10^-6,IF(AND(H24&lt;&gt;0,I24&lt;&gt;0,G24=""),(H24*H24-I24*I24)*3.14*E24/4*VLOOKUP(D24,'KL RIENG'!$B$3:$C$1048576,2,0)*10^-6,IF(AND(G24&lt;&gt;0,H24&lt;&gt;0,I24=""),(H24*H24-((H24-2*G24)*(H24-2*G24)))*3.14*E24/4*VLOOKUP(D24,'KL RIENG'!$B$3:$C$1048576,2,0)*10^-6,G24*F24*E24*VLOOKUP(D24,'KL RIENG'!$B$3:$C$1048576,2,0)*10^-6)))))),VLOOKUP(F24,'THEP HINH'!$B$4:$E$1048576,3,0)*DMVT!E24*VLOOKUP(D24,'KL RIENG'!$B$3:$C$1048576,2,0)*10^-6)),"")</f>
        <v/>
      </c>
      <c r="M24" s="84" t="str">
        <f t="shared" si="7"/>
        <v/>
      </c>
      <c r="N24" s="84" t="e">
        <f t="shared" si="9"/>
        <v>#VALUE!</v>
      </c>
      <c r="O24" s="52"/>
      <c r="P24" s="52"/>
      <c r="Q24" s="52"/>
      <c r="R24" s="52"/>
      <c r="S24" s="52"/>
      <c r="T24" s="52"/>
      <c r="U24" s="52"/>
      <c r="V24" s="52"/>
      <c r="W24" s="52"/>
      <c r="X24" s="4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76"/>
      <c r="AO24" s="65"/>
      <c r="AP24" s="70">
        <v>5</v>
      </c>
      <c r="AQ24" s="71" t="str">
        <f t="shared" si="10"/>
        <v/>
      </c>
      <c r="AR24" s="71" t="str">
        <f t="shared" si="11"/>
        <v/>
      </c>
    </row>
    <row r="25" spans="1:44" s="1" customFormat="1" ht="42" customHeight="1">
      <c r="A25" s="81"/>
      <c r="B25" s="82"/>
      <c r="C25" s="76"/>
      <c r="D25" s="52"/>
      <c r="E25" s="52"/>
      <c r="F25" s="52"/>
      <c r="G25" s="52"/>
      <c r="H25" s="83"/>
      <c r="I25" s="83"/>
      <c r="J25" s="52"/>
      <c r="K25" s="52">
        <f t="shared" si="8"/>
        <v>0</v>
      </c>
      <c r="L25" s="84" t="str">
        <f>IFERROR((IFERROR(IF(MID(F25,3,1)="x",(LEFT(F25,2)*2+RIGHT(F25,2)*2-2*4*G25)*G25*E25*VLOOKUP(D25,'KL RIENG'!$B$3:$C$1048576,2,0)*10^-6,IF(AND(H25&lt;&gt;0,I25="",G25=""),H25*H25*E25*3.14/4*VLOOKUP(D25,'KL RIENG'!$B$3:$C$1048576,2,0)*10^-6,IF(AND(H25&lt;&gt;"",I25 ="",G25&lt;&gt;"",E25=""),H25*H25*G25*VLOOKUP(D25,'KL RIENG'!$B$3:$C$1048576,2,0)*10^-6,IF(AND(H25&lt;&gt;"",I25&lt;&gt;"",G25&lt;&gt;"",E25=""),H25*H25*G25*VLOOKUP(D25,'KL RIENG'!$B$3:$C$1048576,2,0)*10^-6,IF(AND(H25&lt;&gt;0,I25&lt;&gt;0,G25=""),(H25*H25-I25*I25)*3.14*E25/4*VLOOKUP(D25,'KL RIENG'!$B$3:$C$1048576,2,0)*10^-6,IF(AND(G25&lt;&gt;0,H25&lt;&gt;0,I25=""),(H25*H25-((H25-2*G25)*(H25-2*G25)))*3.14*E25/4*VLOOKUP(D25,'KL RIENG'!$B$3:$C$1048576,2,0)*10^-6,G25*F25*E25*VLOOKUP(D25,'KL RIENG'!$B$3:$C$1048576,2,0)*10^-6)))))),VLOOKUP(F25,'THEP HINH'!$B$4:$E$1048576,3,0)*DMVT!E25*VLOOKUP(D25,'KL RIENG'!$B$3:$C$1048576,2,0)*10^-6)),"")</f>
        <v/>
      </c>
      <c r="M25" s="84" t="str">
        <f t="shared" si="7"/>
        <v/>
      </c>
      <c r="N25" s="84" t="e">
        <f t="shared" si="9"/>
        <v>#VALUE!</v>
      </c>
      <c r="O25" s="52"/>
      <c r="P25" s="52"/>
      <c r="Q25" s="52"/>
      <c r="R25" s="52"/>
      <c r="S25" s="52"/>
      <c r="T25" s="52"/>
      <c r="U25" s="52"/>
      <c r="V25" s="52"/>
      <c r="W25" s="52"/>
      <c r="X25" s="4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76"/>
      <c r="AO25" s="65"/>
      <c r="AP25" s="70">
        <v>6</v>
      </c>
      <c r="AQ25" s="71" t="str">
        <f t="shared" si="10"/>
        <v/>
      </c>
      <c r="AR25" s="71" t="str">
        <f t="shared" si="11"/>
        <v/>
      </c>
    </row>
    <row r="26" spans="1:44" s="1" customFormat="1" ht="42" customHeight="1">
      <c r="A26" s="81"/>
      <c r="B26" s="82"/>
      <c r="C26" s="76"/>
      <c r="D26" s="52"/>
      <c r="E26" s="52"/>
      <c r="F26" s="52"/>
      <c r="G26" s="52"/>
      <c r="H26" s="83"/>
      <c r="I26" s="83"/>
      <c r="J26" s="52"/>
      <c r="K26" s="52">
        <f t="shared" si="8"/>
        <v>0</v>
      </c>
      <c r="L26" s="84" t="str">
        <f>IFERROR((IFERROR(IF(MID(F26,3,1)="x",(LEFT(F26,2)*2+RIGHT(F26,2)*2-2*4*G26)*G26*E26*VLOOKUP(D26,'KL RIENG'!$B$3:$C$1048576,2,0)*10^-6,IF(AND(H26&lt;&gt;0,I26="",G26=""),H26*H26*E26*3.14/4*VLOOKUP(D26,'KL RIENG'!$B$3:$C$1048576,2,0)*10^-6,IF(AND(H26&lt;&gt;"",I26 ="",G26&lt;&gt;"",E26=""),H26*H26*G26*VLOOKUP(D26,'KL RIENG'!$B$3:$C$1048576,2,0)*10^-6,IF(AND(H26&lt;&gt;"",I26&lt;&gt;"",G26&lt;&gt;"",E26=""),H26*H26*G26*VLOOKUP(D26,'KL RIENG'!$B$3:$C$1048576,2,0)*10^-6,IF(AND(H26&lt;&gt;0,I26&lt;&gt;0,G26=""),(H26*H26-I26*I26)*3.14*E26/4*VLOOKUP(D26,'KL RIENG'!$B$3:$C$1048576,2,0)*10^-6,IF(AND(G26&lt;&gt;0,H26&lt;&gt;0,I26=""),(H26*H26-((H26-2*G26)*(H26-2*G26)))*3.14*E26/4*VLOOKUP(D26,'KL RIENG'!$B$3:$C$1048576,2,0)*10^-6,G26*F26*E26*VLOOKUP(D26,'KL RIENG'!$B$3:$C$1048576,2,0)*10^-6)))))),VLOOKUP(F26,'THEP HINH'!$B$4:$E$1048576,3,0)*DMVT!E26*VLOOKUP(D26,'KL RIENG'!$B$3:$C$1048576,2,0)*10^-6)),"")</f>
        <v/>
      </c>
      <c r="M26" s="84" t="str">
        <f t="shared" si="7"/>
        <v/>
      </c>
      <c r="N26" s="84" t="e">
        <f t="shared" si="9"/>
        <v>#VALUE!</v>
      </c>
      <c r="O26" s="52"/>
      <c r="P26" s="52"/>
      <c r="Q26" s="52"/>
      <c r="R26" s="52"/>
      <c r="S26" s="52"/>
      <c r="T26" s="52"/>
      <c r="U26" s="52"/>
      <c r="V26" s="52"/>
      <c r="W26" s="52"/>
      <c r="X26" s="4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76"/>
      <c r="AO26" s="65"/>
      <c r="AP26" s="70">
        <v>7</v>
      </c>
      <c r="AQ26" s="71" t="str">
        <f t="shared" si="10"/>
        <v/>
      </c>
      <c r="AR26" s="71" t="str">
        <f t="shared" si="11"/>
        <v/>
      </c>
    </row>
    <row r="27" spans="1:44" s="1" customFormat="1" ht="42" customHeight="1">
      <c r="A27" s="81"/>
      <c r="B27" s="82"/>
      <c r="C27" s="76"/>
      <c r="D27" s="52"/>
      <c r="E27" s="52"/>
      <c r="F27" s="52"/>
      <c r="G27" s="52"/>
      <c r="H27" s="83"/>
      <c r="I27" s="83"/>
      <c r="J27" s="52"/>
      <c r="K27" s="52">
        <f t="shared" si="8"/>
        <v>0</v>
      </c>
      <c r="L27" s="84" t="str">
        <f>IFERROR((IFERROR(IF(MID(F27,3,1)="x",(LEFT(F27,2)*2+RIGHT(F27,2)*2-2*4*G27)*G27*E27*VLOOKUP(D27,'KL RIENG'!$B$3:$C$1048576,2,0)*10^-6,IF(AND(H27&lt;&gt;0,I27="",G27=""),H27*H27*E27*3.14/4*VLOOKUP(D27,'KL RIENG'!$B$3:$C$1048576,2,0)*10^-6,IF(AND(H27&lt;&gt;"",I27 ="",G27&lt;&gt;"",E27=""),H27*H27*G27*VLOOKUP(D27,'KL RIENG'!$B$3:$C$1048576,2,0)*10^-6,IF(AND(H27&lt;&gt;"",I27&lt;&gt;"",G27&lt;&gt;"",E27=""),H27*H27*G27*VLOOKUP(D27,'KL RIENG'!$B$3:$C$1048576,2,0)*10^-6,IF(AND(H27&lt;&gt;0,I27&lt;&gt;0,G27=""),(H27*H27-I27*I27)*3.14*E27/4*VLOOKUP(D27,'KL RIENG'!$B$3:$C$1048576,2,0)*10^-6,IF(AND(G27&lt;&gt;0,H27&lt;&gt;0,I27=""),(H27*H27-((H27-2*G27)*(H27-2*G27)))*3.14*E27/4*VLOOKUP(D27,'KL RIENG'!$B$3:$C$1048576,2,0)*10^-6,G27*F27*E27*VLOOKUP(D27,'KL RIENG'!$B$3:$C$1048576,2,0)*10^-6)))))),VLOOKUP(F27,'THEP HINH'!$B$4:$E$1048576,3,0)*DMVT!E27*VLOOKUP(D27,'KL RIENG'!$B$3:$C$1048576,2,0)*10^-6)),"")</f>
        <v/>
      </c>
      <c r="M27" s="84" t="str">
        <f t="shared" si="7"/>
        <v/>
      </c>
      <c r="N27" s="84" t="e">
        <f t="shared" si="9"/>
        <v>#VALUE!</v>
      </c>
      <c r="O27" s="52"/>
      <c r="P27" s="52"/>
      <c r="Q27" s="52"/>
      <c r="R27" s="52"/>
      <c r="S27" s="52"/>
      <c r="T27" s="52"/>
      <c r="U27" s="52"/>
      <c r="V27" s="52"/>
      <c r="W27" s="52"/>
      <c r="X27" s="4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76"/>
      <c r="AO27" s="65"/>
      <c r="AP27" s="70">
        <v>8</v>
      </c>
      <c r="AQ27" s="71" t="str">
        <f t="shared" si="10"/>
        <v/>
      </c>
      <c r="AR27" s="71" t="str">
        <f t="shared" si="11"/>
        <v/>
      </c>
    </row>
    <row r="28" spans="1:44" s="1" customFormat="1" ht="42" customHeight="1">
      <c r="A28" s="81"/>
      <c r="B28" s="82"/>
      <c r="C28" s="76"/>
      <c r="D28" s="52"/>
      <c r="E28" s="52"/>
      <c r="F28" s="52"/>
      <c r="G28" s="52"/>
      <c r="H28" s="83"/>
      <c r="I28" s="83"/>
      <c r="J28" s="52"/>
      <c r="K28" s="52">
        <f t="shared" si="8"/>
        <v>0</v>
      </c>
      <c r="L28" s="84" t="str">
        <f>IFERROR((IFERROR(IF(MID(F28,3,1)="x",(LEFT(F28,2)*2+RIGHT(F28,2)*2-2*4*G28)*G28*E28*VLOOKUP(D28,'KL RIENG'!$B$3:$C$1048576,2,0)*10^-6,IF(AND(H28&lt;&gt;0,I28="",G28=""),H28*H28*E28*3.14/4*VLOOKUP(D28,'KL RIENG'!$B$3:$C$1048576,2,0)*10^-6,IF(AND(H28&lt;&gt;"",I28 ="",G28&lt;&gt;"",E28=""),H28*H28*G28*VLOOKUP(D28,'KL RIENG'!$B$3:$C$1048576,2,0)*10^-6,IF(AND(H28&lt;&gt;"",I28&lt;&gt;"",G28&lt;&gt;"",E28=""),H28*H28*G28*VLOOKUP(D28,'KL RIENG'!$B$3:$C$1048576,2,0)*10^-6,IF(AND(H28&lt;&gt;0,I28&lt;&gt;0,G28=""),(H28*H28-I28*I28)*3.14*E28/4*VLOOKUP(D28,'KL RIENG'!$B$3:$C$1048576,2,0)*10^-6,IF(AND(G28&lt;&gt;0,H28&lt;&gt;0,I28=""),(H28*H28-((H28-2*G28)*(H28-2*G28)))*3.14*E28/4*VLOOKUP(D28,'KL RIENG'!$B$3:$C$1048576,2,0)*10^-6,G28*F28*E28*VLOOKUP(D28,'KL RIENG'!$B$3:$C$1048576,2,0)*10^-6)))))),VLOOKUP(F28,'THEP HINH'!$B$4:$E$1048576,3,0)*DMVT!E28*VLOOKUP(D28,'KL RIENG'!$B$3:$C$1048576,2,0)*10^-6)),"")</f>
        <v/>
      </c>
      <c r="M28" s="84" t="str">
        <f t="shared" si="7"/>
        <v/>
      </c>
      <c r="N28" s="84" t="e">
        <f t="shared" si="9"/>
        <v>#VALUE!</v>
      </c>
      <c r="O28" s="52"/>
      <c r="P28" s="52"/>
      <c r="Q28" s="52"/>
      <c r="R28" s="52"/>
      <c r="S28" s="52"/>
      <c r="T28" s="52"/>
      <c r="U28" s="52"/>
      <c r="V28" s="52"/>
      <c r="W28" s="52"/>
      <c r="X28" s="4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76"/>
      <c r="AO28" s="65"/>
      <c r="AP28" s="70">
        <v>9</v>
      </c>
      <c r="AQ28" s="71" t="str">
        <f t="shared" si="10"/>
        <v/>
      </c>
      <c r="AR28" s="71" t="str">
        <f t="shared" si="11"/>
        <v/>
      </c>
    </row>
    <row r="29" spans="1:44" s="1" customFormat="1" ht="42" customHeight="1">
      <c r="A29" s="81"/>
      <c r="B29" s="82"/>
      <c r="C29" s="76"/>
      <c r="D29" s="52"/>
      <c r="E29" s="52"/>
      <c r="F29" s="52"/>
      <c r="G29" s="52"/>
      <c r="H29" s="83"/>
      <c r="I29" s="83"/>
      <c r="J29" s="52"/>
      <c r="K29" s="52">
        <f t="shared" si="8"/>
        <v>0</v>
      </c>
      <c r="L29" s="84" t="str">
        <f>IFERROR((IFERROR(IF(MID(F29,3,1)="x",(LEFT(F29,2)*2+RIGHT(F29,2)*2-2*4*G29)*G29*E29*VLOOKUP(D29,'KL RIENG'!$B$3:$C$1048576,2,0)*10^-6,IF(AND(H29&lt;&gt;0,I29="",G29=""),H29*H29*E29*3.14/4*VLOOKUP(D29,'KL RIENG'!$B$3:$C$1048576,2,0)*10^-6,IF(AND(H29&lt;&gt;"",I29 ="",G29&lt;&gt;"",E29=""),H29*H29*G29*VLOOKUP(D29,'KL RIENG'!$B$3:$C$1048576,2,0)*10^-6,IF(AND(H29&lt;&gt;"",I29&lt;&gt;"",G29&lt;&gt;"",E29=""),H29*H29*G29*VLOOKUP(D29,'KL RIENG'!$B$3:$C$1048576,2,0)*10^-6,IF(AND(H29&lt;&gt;0,I29&lt;&gt;0,G29=""),(H29*H29-I29*I29)*3.14*E29/4*VLOOKUP(D29,'KL RIENG'!$B$3:$C$1048576,2,0)*10^-6,IF(AND(G29&lt;&gt;0,H29&lt;&gt;0,I29=""),(H29*H29-((H29-2*G29)*(H29-2*G29)))*3.14*E29/4*VLOOKUP(D29,'KL RIENG'!$B$3:$C$1048576,2,0)*10^-6,G29*F29*E29*VLOOKUP(D29,'KL RIENG'!$B$3:$C$1048576,2,0)*10^-6)))))),VLOOKUP(F29,'THEP HINH'!$B$4:$E$1048576,3,0)*DMVT!E29*VLOOKUP(D29,'KL RIENG'!$B$3:$C$1048576,2,0)*10^-6)),"")</f>
        <v/>
      </c>
      <c r="M29" s="84" t="str">
        <f t="shared" si="7"/>
        <v/>
      </c>
      <c r="N29" s="84" t="e">
        <f t="shared" si="9"/>
        <v>#VALUE!</v>
      </c>
      <c r="O29" s="52"/>
      <c r="P29" s="52"/>
      <c r="Q29" s="52"/>
      <c r="R29" s="52"/>
      <c r="S29" s="52"/>
      <c r="T29" s="52"/>
      <c r="U29" s="52"/>
      <c r="V29" s="52"/>
      <c r="W29" s="52"/>
      <c r="X29" s="4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76"/>
      <c r="AO29" s="65"/>
      <c r="AP29" s="70">
        <v>10</v>
      </c>
      <c r="AQ29" s="71" t="str">
        <f t="shared" si="10"/>
        <v/>
      </c>
      <c r="AR29" s="71" t="str">
        <f t="shared" si="11"/>
        <v/>
      </c>
    </row>
    <row r="30" spans="1:44" s="1" customFormat="1" ht="42" customHeight="1">
      <c r="A30" s="81"/>
      <c r="B30" s="82"/>
      <c r="C30" s="76"/>
      <c r="D30" s="52"/>
      <c r="E30" s="52"/>
      <c r="F30" s="52"/>
      <c r="G30" s="52"/>
      <c r="H30" s="83"/>
      <c r="I30" s="83"/>
      <c r="J30" s="52"/>
      <c r="K30" s="52">
        <f t="shared" si="8"/>
        <v>0</v>
      </c>
      <c r="L30" s="84" t="str">
        <f>IFERROR((IFERROR(IF(MID(F30,3,1)="x",(LEFT(F30,2)*2+RIGHT(F30,2)*2-2*4*G30)*G30*E30*VLOOKUP(D30,'KL RIENG'!$B$3:$C$1048576,2,0)*10^-6,IF(AND(H30&lt;&gt;0,I30="",G30=""),H30*H30*E30*3.14/4*VLOOKUP(D30,'KL RIENG'!$B$3:$C$1048576,2,0)*10^-6,IF(AND(H30&lt;&gt;"",I30 ="",G30&lt;&gt;"",E30=""),H30*H30*G30*VLOOKUP(D30,'KL RIENG'!$B$3:$C$1048576,2,0)*10^-6,IF(AND(H30&lt;&gt;"",I30&lt;&gt;"",G30&lt;&gt;"",E30=""),H30*H30*G30*VLOOKUP(D30,'KL RIENG'!$B$3:$C$1048576,2,0)*10^-6,IF(AND(H30&lt;&gt;0,I30&lt;&gt;0,G30=""),(H30*H30-I30*I30)*3.14*E30/4*VLOOKUP(D30,'KL RIENG'!$B$3:$C$1048576,2,0)*10^-6,IF(AND(G30&lt;&gt;0,H30&lt;&gt;0,I30=""),(H30*H30-((H30-2*G30)*(H30-2*G30)))*3.14*E30/4*VLOOKUP(D30,'KL RIENG'!$B$3:$C$1048576,2,0)*10^-6,G30*F30*E30*VLOOKUP(D30,'KL RIENG'!$B$3:$C$1048576,2,0)*10^-6)))))),VLOOKUP(F30,'THEP HINH'!$B$4:$E$1048576,3,0)*DMVT!E30*VLOOKUP(D30,'KL RIENG'!$B$3:$C$1048576,2,0)*10^-6)),"")</f>
        <v/>
      </c>
      <c r="M30" s="84" t="str">
        <f t="shared" si="7"/>
        <v/>
      </c>
      <c r="N30" s="84" t="e">
        <f t="shared" si="9"/>
        <v>#VALUE!</v>
      </c>
      <c r="O30" s="52"/>
      <c r="P30" s="52"/>
      <c r="Q30" s="52"/>
      <c r="R30" s="52"/>
      <c r="S30" s="52"/>
      <c r="T30" s="52"/>
      <c r="U30" s="52"/>
      <c r="V30" s="52"/>
      <c r="W30" s="52"/>
      <c r="X30" s="4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76"/>
      <c r="AO30" s="65"/>
      <c r="AP30" s="70">
        <v>8</v>
      </c>
      <c r="AQ30" s="71" t="str">
        <f t="shared" si="10"/>
        <v/>
      </c>
      <c r="AR30" s="71" t="str">
        <f t="shared" si="11"/>
        <v/>
      </c>
    </row>
    <row r="31" spans="1:44" s="1" customFormat="1" ht="42" customHeight="1">
      <c r="A31" s="81"/>
      <c r="B31" s="82"/>
      <c r="C31" s="76"/>
      <c r="D31" s="52"/>
      <c r="E31" s="52"/>
      <c r="F31" s="52"/>
      <c r="G31" s="52"/>
      <c r="H31" s="83"/>
      <c r="I31" s="83"/>
      <c r="J31" s="52"/>
      <c r="K31" s="52">
        <f t="shared" si="8"/>
        <v>0</v>
      </c>
      <c r="L31" s="84" t="str">
        <f>IFERROR((IFERROR(IF(MID(F31,3,1)="x",(LEFT(F31,2)*2+RIGHT(F31,2)*2-2*4*G31)*G31*E31*VLOOKUP(D31,'KL RIENG'!$B$3:$C$1048576,2,0)*10^-6,IF(AND(H31&lt;&gt;0,I31="",G31=""),H31*H31*E31*3.14/4*VLOOKUP(D31,'KL RIENG'!$B$3:$C$1048576,2,0)*10^-6,IF(AND(H31&lt;&gt;"",I31 ="",G31&lt;&gt;"",E31=""),H31*H31*G31*VLOOKUP(D31,'KL RIENG'!$B$3:$C$1048576,2,0)*10^-6,IF(AND(H31&lt;&gt;"",I31&lt;&gt;"",G31&lt;&gt;"",E31=""),H31*H31*G31*VLOOKUP(D31,'KL RIENG'!$B$3:$C$1048576,2,0)*10^-6,IF(AND(H31&lt;&gt;0,I31&lt;&gt;0,G31=""),(H31*H31-I31*I31)*3.14*E31/4*VLOOKUP(D31,'KL RIENG'!$B$3:$C$1048576,2,0)*10^-6,IF(AND(G31&lt;&gt;0,H31&lt;&gt;0,I31=""),(H31*H31-((H31-2*G31)*(H31-2*G31)))*3.14*E31/4*VLOOKUP(D31,'KL RIENG'!$B$3:$C$1048576,2,0)*10^-6,G31*F31*E31*VLOOKUP(D31,'KL RIENG'!$B$3:$C$1048576,2,0)*10^-6)))))),VLOOKUP(F31,'THEP HINH'!$B$4:$E$1048576,3,0)*DMVT!E31*VLOOKUP(D31,'KL RIENG'!$B$3:$C$1048576,2,0)*10^-6)),"")</f>
        <v/>
      </c>
      <c r="M31" s="84" t="str">
        <f t="shared" ref="M31:M36" si="12">IFERROR(J31*L31,"")</f>
        <v/>
      </c>
      <c r="N31" s="84" t="e">
        <f t="shared" si="9"/>
        <v>#VALUE!</v>
      </c>
      <c r="O31" s="52"/>
      <c r="P31" s="52"/>
      <c r="Q31" s="52"/>
      <c r="R31" s="52"/>
      <c r="S31" s="52"/>
      <c r="T31" s="52"/>
      <c r="U31" s="52"/>
      <c r="V31" s="52"/>
      <c r="W31" s="52"/>
      <c r="X31" s="4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76"/>
      <c r="AO31" s="65"/>
      <c r="AP31" s="70">
        <v>32</v>
      </c>
      <c r="AQ31" s="71" t="str">
        <f t="shared" si="10"/>
        <v/>
      </c>
      <c r="AR31" s="71" t="str">
        <f t="shared" si="11"/>
        <v/>
      </c>
    </row>
    <row r="32" spans="1:44" s="1" customFormat="1" ht="42" customHeight="1">
      <c r="A32" s="81"/>
      <c r="B32" s="82"/>
      <c r="C32" s="76"/>
      <c r="D32" s="52"/>
      <c r="E32" s="52"/>
      <c r="F32" s="52"/>
      <c r="G32" s="52"/>
      <c r="H32" s="83"/>
      <c r="I32" s="83"/>
      <c r="J32" s="52"/>
      <c r="K32" s="52">
        <f t="shared" si="8"/>
        <v>0</v>
      </c>
      <c r="L32" s="84" t="str">
        <f>IFERROR((IFERROR(IF(MID(F32,3,1)="x",(LEFT(F32,2)*2+RIGHT(F32,2)*2-2*4*G32)*G32*E32*VLOOKUP(D32,'KL RIENG'!$B$3:$C$1048576,2,0)*10^-6,IF(AND(H32&lt;&gt;0,I32="",G32=""),H32*H32*E32*3.14/4*VLOOKUP(D32,'KL RIENG'!$B$3:$C$1048576,2,0)*10^-6,IF(AND(H32&lt;&gt;"",I32 ="",G32&lt;&gt;"",E32=""),H32*H32*G32*VLOOKUP(D32,'KL RIENG'!$B$3:$C$1048576,2,0)*10^-6,IF(AND(H32&lt;&gt;"",I32&lt;&gt;"",G32&lt;&gt;"",E32=""),H32*H32*G32*VLOOKUP(D32,'KL RIENG'!$B$3:$C$1048576,2,0)*10^-6,IF(AND(H32&lt;&gt;0,I32&lt;&gt;0,G32=""),(H32*H32-I32*I32)*3.14*E32/4*VLOOKUP(D32,'KL RIENG'!$B$3:$C$1048576,2,0)*10^-6,IF(AND(G32&lt;&gt;0,H32&lt;&gt;0,I32=""),(H32*H32-((H32-2*G32)*(H32-2*G32)))*3.14*E32/4*VLOOKUP(D32,'KL RIENG'!$B$3:$C$1048576,2,0)*10^-6,G32*F32*E32*VLOOKUP(D32,'KL RIENG'!$B$3:$C$1048576,2,0)*10^-6)))))),VLOOKUP(F32,'THEP HINH'!$B$4:$E$1048576,3,0)*DMVT!E32*VLOOKUP(D32,'KL RIENG'!$B$3:$C$1048576,2,0)*10^-6)),"")</f>
        <v/>
      </c>
      <c r="M32" s="84" t="str">
        <f t="shared" si="12"/>
        <v/>
      </c>
      <c r="N32" s="84" t="e">
        <f t="shared" si="9"/>
        <v>#VALUE!</v>
      </c>
      <c r="O32" s="52"/>
      <c r="P32" s="52"/>
      <c r="Q32" s="52"/>
      <c r="R32" s="52"/>
      <c r="S32" s="52"/>
      <c r="T32" s="52"/>
      <c r="U32" s="52"/>
      <c r="V32" s="52"/>
      <c r="W32" s="52"/>
      <c r="X32" s="4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76"/>
      <c r="AO32" s="65"/>
      <c r="AP32" s="70">
        <v>33</v>
      </c>
      <c r="AQ32" s="71" t="str">
        <f t="shared" si="10"/>
        <v/>
      </c>
      <c r="AR32" s="71" t="str">
        <f t="shared" si="11"/>
        <v/>
      </c>
    </row>
    <row r="33" spans="1:44" s="1" customFormat="1" ht="42" customHeight="1">
      <c r="A33" s="81"/>
      <c r="B33" s="82"/>
      <c r="C33" s="76"/>
      <c r="D33" s="52"/>
      <c r="E33" s="52"/>
      <c r="F33" s="52"/>
      <c r="G33" s="52"/>
      <c r="H33" s="83"/>
      <c r="I33" s="83"/>
      <c r="J33" s="52"/>
      <c r="K33" s="52">
        <f t="shared" si="8"/>
        <v>0</v>
      </c>
      <c r="L33" s="84" t="str">
        <f>IFERROR((IFERROR(IF(MID(F33,3,1)="x",(LEFT(F33,2)*2+RIGHT(F33,2)*2-2*4*G33)*G33*E33*VLOOKUP(D33,'KL RIENG'!$B$3:$C$1048576,2,0)*10^-6,IF(AND(H33&lt;&gt;0,I33="",G33=""),H33*H33*E33*3.14/4*VLOOKUP(D33,'KL RIENG'!$B$3:$C$1048576,2,0)*10^-6,IF(AND(H33&lt;&gt;"",I33 ="",G33&lt;&gt;"",E33=""),H33*H33*G33*VLOOKUP(D33,'KL RIENG'!$B$3:$C$1048576,2,0)*10^-6,IF(AND(H33&lt;&gt;"",I33&lt;&gt;"",G33&lt;&gt;"",E33=""),H33*H33*G33*VLOOKUP(D33,'KL RIENG'!$B$3:$C$1048576,2,0)*10^-6,IF(AND(H33&lt;&gt;0,I33&lt;&gt;0,G33=""),(H33*H33-I33*I33)*3.14*E33/4*VLOOKUP(D33,'KL RIENG'!$B$3:$C$1048576,2,0)*10^-6,IF(AND(G33&lt;&gt;0,H33&lt;&gt;0,I33=""),(H33*H33-((H33-2*G33)*(H33-2*G33)))*3.14*E33/4*VLOOKUP(D33,'KL RIENG'!$B$3:$C$1048576,2,0)*10^-6,G33*F33*E33*VLOOKUP(D33,'KL RIENG'!$B$3:$C$1048576,2,0)*10^-6)))))),VLOOKUP(F33,'THEP HINH'!$B$4:$E$1048576,3,0)*DMVT!E33*VLOOKUP(D33,'KL RIENG'!$B$3:$C$1048576,2,0)*10^-6)),"")</f>
        <v/>
      </c>
      <c r="M33" s="84" t="str">
        <f t="shared" si="12"/>
        <v/>
      </c>
      <c r="N33" s="84" t="e">
        <f t="shared" si="9"/>
        <v>#VALUE!</v>
      </c>
      <c r="O33" s="52"/>
      <c r="P33" s="52"/>
      <c r="Q33" s="52"/>
      <c r="R33" s="52"/>
      <c r="S33" s="52"/>
      <c r="T33" s="52"/>
      <c r="U33" s="52"/>
      <c r="V33" s="52"/>
      <c r="W33" s="52"/>
      <c r="X33" s="4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76"/>
      <c r="AO33" s="65"/>
      <c r="AP33" s="70">
        <v>34</v>
      </c>
      <c r="AQ33" s="71" t="str">
        <f t="shared" si="10"/>
        <v/>
      </c>
      <c r="AR33" s="71" t="str">
        <f t="shared" si="11"/>
        <v/>
      </c>
    </row>
    <row r="34" spans="1:44" s="1" customFormat="1" ht="42" customHeight="1">
      <c r="A34" s="81"/>
      <c r="B34" s="82"/>
      <c r="C34" s="76"/>
      <c r="D34" s="52"/>
      <c r="E34" s="52"/>
      <c r="F34" s="52"/>
      <c r="G34" s="52"/>
      <c r="H34" s="83"/>
      <c r="I34" s="83"/>
      <c r="J34" s="52"/>
      <c r="K34" s="52">
        <f t="shared" si="8"/>
        <v>0</v>
      </c>
      <c r="L34" s="84" t="str">
        <f>IFERROR((IFERROR(IF(MID(F34,3,1)="x",(LEFT(F34,2)*2+RIGHT(F34,2)*2-2*4*G34)*G34*E34*VLOOKUP(D34,'KL RIENG'!$B$3:$C$1048576,2,0)*10^-6,IF(AND(H34&lt;&gt;0,I34="",G34=""),H34*H34*E34*3.14/4*VLOOKUP(D34,'KL RIENG'!$B$3:$C$1048576,2,0)*10^-6,IF(AND(H34&lt;&gt;"",I34 ="",G34&lt;&gt;"",E34=""),H34*H34*G34*VLOOKUP(D34,'KL RIENG'!$B$3:$C$1048576,2,0)*10^-6,IF(AND(H34&lt;&gt;"",I34&lt;&gt;"",G34&lt;&gt;"",E34=""),H34*H34*G34*VLOOKUP(D34,'KL RIENG'!$B$3:$C$1048576,2,0)*10^-6,IF(AND(H34&lt;&gt;0,I34&lt;&gt;0,G34=""),(H34*H34-I34*I34)*3.14*E34/4*VLOOKUP(D34,'KL RIENG'!$B$3:$C$1048576,2,0)*10^-6,IF(AND(G34&lt;&gt;0,H34&lt;&gt;0,I34=""),(H34*H34-((H34-2*G34)*(H34-2*G34)))*3.14*E34/4*VLOOKUP(D34,'KL RIENG'!$B$3:$C$1048576,2,0)*10^-6,G34*F34*E34*VLOOKUP(D34,'KL RIENG'!$B$3:$C$1048576,2,0)*10^-6)))))),VLOOKUP(F34,'THEP HINH'!$B$4:$E$1048576,3,0)*DMVT!E34*VLOOKUP(D34,'KL RIENG'!$B$3:$C$1048576,2,0)*10^-6)),"")</f>
        <v/>
      </c>
      <c r="M34" s="84" t="str">
        <f t="shared" si="12"/>
        <v/>
      </c>
      <c r="N34" s="84" t="e">
        <f t="shared" si="9"/>
        <v>#VALUE!</v>
      </c>
      <c r="O34" s="52"/>
      <c r="P34" s="52"/>
      <c r="Q34" s="52"/>
      <c r="R34" s="52"/>
      <c r="S34" s="52"/>
      <c r="T34" s="52"/>
      <c r="U34" s="52"/>
      <c r="V34" s="52"/>
      <c r="W34" s="52"/>
      <c r="X34" s="4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76"/>
      <c r="AO34" s="65"/>
      <c r="AP34" s="70">
        <v>35</v>
      </c>
      <c r="AQ34" s="71" t="str">
        <f t="shared" si="10"/>
        <v/>
      </c>
      <c r="AR34" s="71" t="str">
        <f t="shared" si="11"/>
        <v/>
      </c>
    </row>
    <row r="35" spans="1:44" s="1" customFormat="1" ht="42" customHeight="1">
      <c r="A35" s="81"/>
      <c r="B35" s="82"/>
      <c r="C35" s="76"/>
      <c r="D35" s="52"/>
      <c r="E35" s="52"/>
      <c r="F35" s="52"/>
      <c r="G35" s="52"/>
      <c r="H35" s="83"/>
      <c r="I35" s="83"/>
      <c r="J35" s="52"/>
      <c r="K35" s="52">
        <f t="shared" si="8"/>
        <v>0</v>
      </c>
      <c r="L35" s="84" t="str">
        <f>IFERROR((IFERROR(IF(MID(F35,3,1)="x",(LEFT(F35,2)*2+RIGHT(F35,2)*2-2*4*G35)*G35*E35*VLOOKUP(D35,'KL RIENG'!$B$3:$C$1048576,2,0)*10^-6,IF(AND(H35&lt;&gt;0,I35="",G35=""),H35*H35*E35*3.14/4*VLOOKUP(D35,'KL RIENG'!$B$3:$C$1048576,2,0)*10^-6,IF(AND(H35&lt;&gt;"",I35 ="",G35&lt;&gt;"",E35=""),H35*H35*G35*VLOOKUP(D35,'KL RIENG'!$B$3:$C$1048576,2,0)*10^-6,IF(AND(H35&lt;&gt;"",I35&lt;&gt;"",G35&lt;&gt;"",E35=""),H35*H35*G35*VLOOKUP(D35,'KL RIENG'!$B$3:$C$1048576,2,0)*10^-6,IF(AND(H35&lt;&gt;0,I35&lt;&gt;0,G35=""),(H35*H35-I35*I35)*3.14*E35/4*VLOOKUP(D35,'KL RIENG'!$B$3:$C$1048576,2,0)*10^-6,IF(AND(G35&lt;&gt;0,H35&lt;&gt;0,I35=""),(H35*H35-((H35-2*G35)*(H35-2*G35)))*3.14*E35/4*VLOOKUP(D35,'KL RIENG'!$B$3:$C$1048576,2,0)*10^-6,G35*F35*E35*VLOOKUP(D35,'KL RIENG'!$B$3:$C$1048576,2,0)*10^-6)))))),VLOOKUP(F35,'THEP HINH'!$B$4:$E$1048576,3,0)*DMVT!E35*VLOOKUP(D35,'KL RIENG'!$B$3:$C$1048576,2,0)*10^-6)),"")</f>
        <v/>
      </c>
      <c r="M35" s="84" t="str">
        <f t="shared" si="12"/>
        <v/>
      </c>
      <c r="N35" s="84" t="e">
        <f t="shared" si="9"/>
        <v>#VALUE!</v>
      </c>
      <c r="O35" s="52"/>
      <c r="P35" s="52"/>
      <c r="Q35" s="52"/>
      <c r="R35" s="52"/>
      <c r="S35" s="52"/>
      <c r="T35" s="52"/>
      <c r="U35" s="52"/>
      <c r="V35" s="52"/>
      <c r="W35" s="52"/>
      <c r="X35" s="4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76"/>
      <c r="AO35" s="65"/>
      <c r="AP35" s="70">
        <v>36</v>
      </c>
      <c r="AQ35" s="71" t="str">
        <f t="shared" si="10"/>
        <v/>
      </c>
      <c r="AR35" s="71" t="str">
        <f t="shared" si="11"/>
        <v/>
      </c>
    </row>
    <row r="36" spans="1:44" s="1" customFormat="1" ht="42" customHeight="1">
      <c r="A36" s="81"/>
      <c r="B36" s="82"/>
      <c r="C36" s="76"/>
      <c r="D36" s="52"/>
      <c r="E36" s="52"/>
      <c r="F36" s="52"/>
      <c r="G36" s="52"/>
      <c r="H36" s="83"/>
      <c r="I36" s="83"/>
      <c r="J36" s="52"/>
      <c r="K36" s="52">
        <f t="shared" si="8"/>
        <v>0</v>
      </c>
      <c r="L36" s="84" t="str">
        <f>IFERROR((IFERROR(IF(MID(F36,3,1)="x",(LEFT(F36,2)*2+RIGHT(F36,2)*2-2*4*G36)*G36*E36*VLOOKUP(D36,'KL RIENG'!$B$3:$C$1048576,2,0)*10^-6,IF(AND(H36&lt;&gt;0,I36="",G36=""),H36*H36*E36*3.14/4*VLOOKUP(D36,'KL RIENG'!$B$3:$C$1048576,2,0)*10^-6,IF(AND(H36&lt;&gt;"",I36 ="",G36&lt;&gt;"",E36=""),H36*H36*G36*VLOOKUP(D36,'KL RIENG'!$B$3:$C$1048576,2,0)*10^-6,IF(AND(H36&lt;&gt;"",I36&lt;&gt;"",G36&lt;&gt;"",E36=""),H36*H36*G36*VLOOKUP(D36,'KL RIENG'!$B$3:$C$1048576,2,0)*10^-6,IF(AND(H36&lt;&gt;0,I36&lt;&gt;0,G36=""),(H36*H36-I36*I36)*3.14*E36/4*VLOOKUP(D36,'KL RIENG'!$B$3:$C$1048576,2,0)*10^-6,IF(AND(G36&lt;&gt;0,H36&lt;&gt;0,I36=""),(H36*H36-((H36-2*G36)*(H36-2*G36)))*3.14*E36/4*VLOOKUP(D36,'KL RIENG'!$B$3:$C$1048576,2,0)*10^-6,G36*F36*E36*VLOOKUP(D36,'KL RIENG'!$B$3:$C$1048576,2,0)*10^-6)))))),VLOOKUP(F36,'THEP HINH'!$B$4:$E$1048576,3,0)*DMVT!E36*VLOOKUP(D36,'KL RIENG'!$B$3:$C$1048576,2,0)*10^-6)),"")</f>
        <v/>
      </c>
      <c r="M36" s="84" t="str">
        <f t="shared" si="12"/>
        <v/>
      </c>
      <c r="N36" s="84" t="e">
        <f t="shared" si="9"/>
        <v>#VALUE!</v>
      </c>
      <c r="O36" s="52"/>
      <c r="P36" s="52"/>
      <c r="Q36" s="52"/>
      <c r="R36" s="52"/>
      <c r="S36" s="52"/>
      <c r="T36" s="52"/>
      <c r="U36" s="52"/>
      <c r="V36" s="52"/>
      <c r="W36" s="52"/>
      <c r="X36" s="4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76"/>
      <c r="AO36" s="65"/>
      <c r="AP36" s="70">
        <v>37</v>
      </c>
      <c r="AQ36" s="71" t="str">
        <f t="shared" si="10"/>
        <v/>
      </c>
      <c r="AR36" s="71" t="str">
        <f t="shared" si="11"/>
        <v/>
      </c>
    </row>
    <row r="37" spans="1:44" s="64" customFormat="1" ht="42.75" customHeight="1">
      <c r="A37" s="131" t="s">
        <v>7</v>
      </c>
      <c r="B37" s="132"/>
      <c r="C37" s="132"/>
      <c r="D37" s="132"/>
      <c r="E37" s="132"/>
      <c r="F37" s="132"/>
      <c r="G37" s="132"/>
      <c r="H37" s="132"/>
      <c r="I37" s="133"/>
      <c r="J37" s="60"/>
      <c r="K37" s="60"/>
      <c r="L37" s="61"/>
      <c r="M37" s="61"/>
      <c r="N37" s="72" t="e">
        <f>SUM(N7:N21)</f>
        <v>#VALUE!</v>
      </c>
      <c r="O37" s="134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6"/>
      <c r="AP37" s="62"/>
      <c r="AQ37" s="62"/>
      <c r="AR37" s="63"/>
    </row>
    <row r="38" spans="1:44" s="37" customFormat="1" ht="20.100000000000001" customHeight="1">
      <c r="C38" s="58"/>
      <c r="X38" s="6"/>
      <c r="AJ38" s="53"/>
      <c r="AK38" s="53"/>
      <c r="AL38" s="53"/>
      <c r="AM38" s="53"/>
      <c r="AN38" s="78"/>
      <c r="AR38" s="58"/>
    </row>
    <row r="39" spans="1:44" s="37" customFormat="1" ht="20.100000000000001" customHeight="1">
      <c r="C39" s="58"/>
      <c r="D39" s="48"/>
      <c r="Q39" s="53"/>
      <c r="R39" s="53"/>
      <c r="S39" s="53"/>
      <c r="T39" s="53"/>
      <c r="U39" s="53"/>
      <c r="V39" s="53"/>
      <c r="W39" s="53"/>
      <c r="X39" s="6"/>
      <c r="Y39" s="53"/>
      <c r="Z39" s="53"/>
      <c r="AA39" s="53"/>
      <c r="AN39" s="78"/>
      <c r="AR39" s="58"/>
    </row>
    <row r="40" spans="1:44" s="37" customFormat="1" ht="20.100000000000001" customHeight="1">
      <c r="C40" s="58"/>
      <c r="X40" s="6"/>
      <c r="AN40" s="78"/>
      <c r="AR40" s="58"/>
    </row>
    <row r="41" spans="1:44" s="37" customFormat="1" ht="20.100000000000001" customHeight="1">
      <c r="C41" s="58"/>
      <c r="F41" s="48"/>
      <c r="X41" s="6"/>
      <c r="AN41" s="78"/>
      <c r="AR41" s="58"/>
    </row>
    <row r="42" spans="1:44" s="37" customFormat="1" ht="20.100000000000001" customHeight="1">
      <c r="C42" s="58"/>
      <c r="D42" s="48"/>
      <c r="X42" s="6"/>
      <c r="AN42" s="78"/>
      <c r="AR42" s="58"/>
    </row>
    <row r="43" spans="1:44" s="37" customFormat="1" ht="20.100000000000001" customHeight="1">
      <c r="C43" s="58"/>
      <c r="X43" s="6"/>
      <c r="AJ43" s="53"/>
      <c r="AK43" s="53"/>
      <c r="AL43" s="53"/>
      <c r="AM43" s="53"/>
      <c r="AN43" s="78"/>
      <c r="AR43" s="58"/>
    </row>
    <row r="44" spans="1:44" s="37" customFormat="1" ht="20.100000000000001" customHeight="1">
      <c r="C44" s="58"/>
      <c r="Q44" s="53"/>
      <c r="R44" s="53"/>
      <c r="S44" s="53"/>
      <c r="T44" s="53"/>
      <c r="U44" s="53"/>
      <c r="V44" s="53"/>
      <c r="W44" s="53"/>
      <c r="X44" s="6"/>
      <c r="Y44" s="53"/>
      <c r="Z44" s="53"/>
      <c r="AA44" s="53"/>
      <c r="AJ44" s="2"/>
      <c r="AK44" s="2"/>
      <c r="AL44" s="2"/>
      <c r="AM44" s="2"/>
      <c r="AN44" s="78"/>
      <c r="AO44" s="2"/>
      <c r="AR44" s="58"/>
    </row>
    <row r="45" spans="1:44" ht="16.5">
      <c r="C45" s="58"/>
      <c r="D45" s="48"/>
      <c r="I45" s="37"/>
      <c r="J45" s="37"/>
      <c r="K45" s="37"/>
      <c r="L45" s="37"/>
      <c r="M45" s="37"/>
      <c r="N45" s="37"/>
      <c r="O45" s="37"/>
      <c r="P45" s="37"/>
      <c r="X45" s="6"/>
      <c r="AN45" s="78"/>
      <c r="AO45" s="2"/>
    </row>
    <row r="46" spans="1:44" ht="16.5">
      <c r="C46" s="58"/>
      <c r="D46" s="37"/>
      <c r="I46" s="37"/>
      <c r="J46" s="37"/>
      <c r="K46" s="37"/>
      <c r="L46" s="37"/>
      <c r="M46" s="37"/>
      <c r="N46" s="37"/>
      <c r="O46" s="37"/>
      <c r="P46" s="37"/>
      <c r="X46" s="6"/>
      <c r="AN46" s="78"/>
      <c r="AO46" s="2"/>
    </row>
    <row r="47" spans="1:44" ht="16.5">
      <c r="C47" s="58"/>
      <c r="D47" s="37"/>
      <c r="I47" s="37"/>
      <c r="J47" s="37"/>
      <c r="K47" s="37"/>
      <c r="L47" s="37"/>
      <c r="M47" s="37"/>
      <c r="N47" s="36"/>
      <c r="O47" s="37"/>
      <c r="P47" s="37"/>
      <c r="X47" s="6"/>
      <c r="AJ47" s="53"/>
      <c r="AK47" s="53"/>
      <c r="AL47" s="53"/>
      <c r="AM47" s="53"/>
      <c r="AN47" s="78"/>
      <c r="AO47" s="37"/>
    </row>
    <row r="48" spans="1:44" ht="16.5">
      <c r="C48" s="58"/>
      <c r="D48" s="48"/>
      <c r="I48" s="37"/>
      <c r="J48" s="37"/>
      <c r="K48" s="37"/>
      <c r="L48" s="37"/>
      <c r="M48" s="37"/>
      <c r="N48" s="36"/>
      <c r="O48" s="37"/>
      <c r="P48" s="37"/>
      <c r="X48" s="6"/>
      <c r="AJ48" s="37"/>
      <c r="AK48" s="37"/>
      <c r="AL48" s="37"/>
      <c r="AM48" s="37"/>
      <c r="AN48" s="78"/>
      <c r="AO48" s="37"/>
    </row>
    <row r="49" spans="24:40" ht="16.5">
      <c r="X49" s="6"/>
      <c r="AN49" s="78"/>
    </row>
    <row r="50" spans="24:40" ht="16.5">
      <c r="X50" s="77"/>
      <c r="AN50" s="79"/>
    </row>
    <row r="51" spans="24:40" ht="16.5">
      <c r="X51" s="6"/>
      <c r="AN51" s="78"/>
    </row>
    <row r="52" spans="24:40" ht="16.5">
      <c r="X52" s="6"/>
      <c r="AN52" s="78"/>
    </row>
    <row r="53" spans="24:40" ht="16.5">
      <c r="X53" s="6"/>
      <c r="AN53" s="78"/>
    </row>
    <row r="54" spans="24:40" ht="16.5">
      <c r="X54" s="77"/>
      <c r="AN54" s="79"/>
    </row>
    <row r="55" spans="24:40" ht="16.5">
      <c r="X55" s="77"/>
      <c r="AN55" s="79"/>
    </row>
    <row r="56" spans="24:40">
      <c r="AN56" s="80"/>
    </row>
    <row r="57" spans="24:40">
      <c r="AN57" s="80"/>
    </row>
    <row r="58" spans="24:40">
      <c r="AN58" s="80"/>
    </row>
    <row r="59" spans="24:40">
      <c r="AN59" s="80"/>
    </row>
    <row r="60" spans="24:40">
      <c r="AN60" s="80"/>
    </row>
    <row r="61" spans="24:40">
      <c r="AN61" s="80"/>
    </row>
    <row r="62" spans="24:40">
      <c r="AN62" s="80"/>
    </row>
    <row r="63" spans="24:40">
      <c r="AN63" s="80"/>
    </row>
    <row r="64" spans="24:40">
      <c r="AN64" s="80"/>
    </row>
    <row r="65" spans="24:40">
      <c r="AN65" s="80"/>
    </row>
    <row r="66" spans="24:40">
      <c r="AN66" s="80"/>
    </row>
    <row r="67" spans="24:40">
      <c r="AN67" s="80"/>
    </row>
    <row r="68" spans="24:40">
      <c r="AN68" s="80"/>
    </row>
    <row r="69" spans="24:40">
      <c r="AN69" s="80"/>
    </row>
    <row r="70" spans="24:40">
      <c r="AN70" s="80"/>
    </row>
    <row r="71" spans="24:40">
      <c r="AN71" s="80"/>
    </row>
    <row r="72" spans="24:40">
      <c r="AN72" s="80"/>
    </row>
    <row r="73" spans="24:40">
      <c r="AN73" s="80"/>
    </row>
    <row r="74" spans="24:40">
      <c r="AN74" s="80"/>
    </row>
    <row r="75" spans="24:40">
      <c r="AN75" s="80"/>
    </row>
    <row r="76" spans="24:40">
      <c r="AN76" s="80"/>
    </row>
    <row r="77" spans="24:40">
      <c r="AN77" s="80"/>
    </row>
    <row r="79" spans="24:40">
      <c r="X79" s="37"/>
      <c r="AN79" s="53"/>
    </row>
    <row r="80" spans="24:40">
      <c r="X80" s="53"/>
      <c r="AN80" s="37"/>
    </row>
    <row r="81" spans="24:40">
      <c r="X81" s="37"/>
      <c r="AN81" s="37"/>
    </row>
    <row r="82" spans="24:40">
      <c r="X82" s="37"/>
      <c r="AN82" s="37"/>
    </row>
    <row r="83" spans="24:40">
      <c r="X83" s="37"/>
      <c r="AN83" s="37"/>
    </row>
    <row r="84" spans="24:40">
      <c r="X84" s="37"/>
      <c r="AN84" s="53"/>
    </row>
    <row r="85" spans="24:40">
      <c r="X85" s="53"/>
    </row>
    <row r="88" spans="24:40">
      <c r="AN88" s="53"/>
    </row>
    <row r="89" spans="24:40">
      <c r="AN89" s="37"/>
    </row>
  </sheetData>
  <autoFilter ref="A6:AR37" xr:uid="{00000000-0009-0000-0000-000000000000}"/>
  <mergeCells count="37">
    <mergeCell ref="A37:I37"/>
    <mergeCell ref="O37:AO37"/>
    <mergeCell ref="AR5:AR6"/>
    <mergeCell ref="O3:O6"/>
    <mergeCell ref="P3:P6"/>
    <mergeCell ref="AJ3:AL5"/>
    <mergeCell ref="AM3:AM6"/>
    <mergeCell ref="AO3:AO6"/>
    <mergeCell ref="K3:K6"/>
    <mergeCell ref="E4:E6"/>
    <mergeCell ref="F4:F6"/>
    <mergeCell ref="G4:G6"/>
    <mergeCell ref="D3:D6"/>
    <mergeCell ref="AB4:AE5"/>
    <mergeCell ref="Q3:AI3"/>
    <mergeCell ref="E3:I3"/>
    <mergeCell ref="AP1:AR2"/>
    <mergeCell ref="AP5:AP6"/>
    <mergeCell ref="AQ5:AQ6"/>
    <mergeCell ref="A3:A6"/>
    <mergeCell ref="C3:C6"/>
    <mergeCell ref="H4:H6"/>
    <mergeCell ref="I4:I6"/>
    <mergeCell ref="J3:J6"/>
    <mergeCell ref="B3:B6"/>
    <mergeCell ref="AP3:AR4"/>
    <mergeCell ref="Q5:V5"/>
    <mergeCell ref="AF4:AG5"/>
    <mergeCell ref="Q4:AA4"/>
    <mergeCell ref="AI4:AI6"/>
    <mergeCell ref="AH4:AH5"/>
    <mergeCell ref="AO1:AO2"/>
    <mergeCell ref="L5:L6"/>
    <mergeCell ref="M5:M6"/>
    <mergeCell ref="N5:N6"/>
    <mergeCell ref="L3:N4"/>
    <mergeCell ref="AN3:AN6"/>
  </mergeCells>
  <phoneticPr fontId="224" type="noConversion"/>
  <conditionalFormatting sqref="AN7:AN36">
    <cfRule type="expression" dxfId="5" priority="56">
      <formula>AN7="lỗi"</formula>
    </cfRule>
  </conditionalFormatting>
  <conditionalFormatting sqref="AN37:AN55">
    <cfRule type="expression" dxfId="4" priority="22">
      <formula>AN37="lỗi"</formula>
    </cfRule>
  </conditionalFormatting>
  <printOptions horizontalCentered="1"/>
  <pageMargins left="0.1" right="0.1" top="0.25" bottom="0.3" header="0.3" footer="0.05"/>
  <pageSetup paperSize="9" scale="35" fitToHeight="0" orientation="landscape" r:id="rId1"/>
  <headerFooter>
    <oddFooter>&amp;C&amp;"Times New Roman,Regular"&amp;13Trang &amp;P/&amp;P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5"/>
  <sheetViews>
    <sheetView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G30" sqref="G30"/>
    </sheetView>
  </sheetViews>
  <sheetFormatPr defaultColWidth="9.140625" defaultRowHeight="16.5"/>
  <cols>
    <col min="1" max="1" width="8" style="9" customWidth="1"/>
    <col min="2" max="2" width="16.28515625" style="9" customWidth="1"/>
    <col min="3" max="3" width="17.5703125" style="9" customWidth="1"/>
    <col min="4" max="18" width="9.140625" style="9"/>
    <col min="19" max="19" width="19.42578125" style="9" customWidth="1"/>
    <col min="20" max="16384" width="9.140625" style="9"/>
  </cols>
  <sheetData>
    <row r="1" spans="1:19" ht="27" customHeight="1">
      <c r="A1" s="161" t="s">
        <v>132</v>
      </c>
      <c r="B1" s="161"/>
      <c r="C1" s="161"/>
    </row>
    <row r="2" spans="1:19" ht="43.5" customHeight="1">
      <c r="A2" s="43" t="s">
        <v>0</v>
      </c>
      <c r="B2" s="43" t="s">
        <v>131</v>
      </c>
      <c r="C2" s="47" t="s">
        <v>145</v>
      </c>
    </row>
    <row r="3" spans="1:19" ht="27" customHeight="1">
      <c r="A3" s="45" t="s">
        <v>113</v>
      </c>
      <c r="B3" s="45" t="s">
        <v>136</v>
      </c>
      <c r="C3" s="45"/>
    </row>
    <row r="4" spans="1:19" ht="27" customHeight="1">
      <c r="A4" s="7">
        <v>1</v>
      </c>
      <c r="B4" s="7" t="s">
        <v>133</v>
      </c>
      <c r="C4" s="7">
        <v>7.85</v>
      </c>
    </row>
    <row r="5" spans="1:19" ht="27" customHeight="1">
      <c r="A5" s="7">
        <f>+A4+1</f>
        <v>2</v>
      </c>
      <c r="B5" s="7" t="s">
        <v>134</v>
      </c>
      <c r="C5" s="7">
        <v>7.85</v>
      </c>
    </row>
    <row r="6" spans="1:19" ht="27" customHeight="1">
      <c r="A6" s="7">
        <f t="shared" ref="A6:A9" si="0">+A5+1</f>
        <v>3</v>
      </c>
      <c r="B6" s="7" t="s">
        <v>160</v>
      </c>
      <c r="C6" s="7">
        <v>7.85</v>
      </c>
    </row>
    <row r="7" spans="1:19" ht="27" customHeight="1">
      <c r="A7" s="7">
        <f t="shared" si="0"/>
        <v>4</v>
      </c>
      <c r="B7" s="7" t="s">
        <v>135</v>
      </c>
      <c r="C7" s="7">
        <v>7.85</v>
      </c>
    </row>
    <row r="8" spans="1:19" ht="27" customHeight="1">
      <c r="A8" s="7">
        <f t="shared" si="0"/>
        <v>5</v>
      </c>
      <c r="B8" s="7" t="s">
        <v>161</v>
      </c>
      <c r="C8" s="7">
        <v>7.85</v>
      </c>
    </row>
    <row r="9" spans="1:19" ht="27" customHeight="1">
      <c r="A9" s="7">
        <f t="shared" si="0"/>
        <v>6</v>
      </c>
      <c r="B9" s="7" t="s">
        <v>154</v>
      </c>
      <c r="C9" s="7">
        <v>7.85</v>
      </c>
    </row>
    <row r="10" spans="1:19" ht="27" customHeight="1">
      <c r="A10" s="41">
        <f t="shared" ref="A10:A20" si="1">+A9+1</f>
        <v>7</v>
      </c>
      <c r="B10" s="41" t="s">
        <v>155</v>
      </c>
      <c r="C10" s="7">
        <v>7.85</v>
      </c>
    </row>
    <row r="11" spans="1:19" ht="27" customHeight="1">
      <c r="A11" s="41">
        <f t="shared" si="1"/>
        <v>8</v>
      </c>
      <c r="B11" s="41" t="s">
        <v>239</v>
      </c>
      <c r="C11" s="7">
        <v>7.93</v>
      </c>
      <c r="I11" s="9">
        <v>36301.339903374399</v>
      </c>
      <c r="J11" s="9">
        <v>36260.346960463983</v>
      </c>
      <c r="K11" s="9">
        <v>36260.346960463983</v>
      </c>
      <c r="M11" s="9">
        <v>36260.346960463983</v>
      </c>
      <c r="N11" s="9">
        <v>36260.346960463983</v>
      </c>
    </row>
    <row r="12" spans="1:19" ht="27" customHeight="1">
      <c r="A12" s="41">
        <f t="shared" si="1"/>
        <v>9</v>
      </c>
      <c r="B12" s="41" t="s">
        <v>287</v>
      </c>
      <c r="C12" s="7">
        <v>7.93</v>
      </c>
      <c r="I12" s="9">
        <v>36301.339903374399</v>
      </c>
      <c r="J12" s="9">
        <v>36260.346960463983</v>
      </c>
      <c r="K12" s="9">
        <v>36260.346960463983</v>
      </c>
      <c r="M12" s="9">
        <v>36260.346960463983</v>
      </c>
      <c r="N12" s="9">
        <v>36260.346960463983</v>
      </c>
    </row>
    <row r="13" spans="1:19" ht="27" customHeight="1">
      <c r="A13" s="7">
        <f>+A10+1</f>
        <v>8</v>
      </c>
      <c r="B13" s="39" t="s">
        <v>229</v>
      </c>
      <c r="C13" s="7">
        <v>7.85</v>
      </c>
      <c r="M13" s="9">
        <v>34194.857943463976</v>
      </c>
      <c r="N13" s="9">
        <v>34194.857943463976</v>
      </c>
      <c r="R13" s="9">
        <v>2790</v>
      </c>
      <c r="S13" s="50">
        <v>1400000000</v>
      </c>
    </row>
    <row r="14" spans="1:19" ht="27" customHeight="1">
      <c r="A14" s="7">
        <f>+A10+1</f>
        <v>8</v>
      </c>
      <c r="B14" s="39" t="s">
        <v>240</v>
      </c>
      <c r="C14" s="7">
        <v>7.85</v>
      </c>
      <c r="S14" s="50">
        <f>+S13/R13</f>
        <v>501792.11469534051</v>
      </c>
    </row>
    <row r="15" spans="1:19" ht="27" customHeight="1">
      <c r="A15" s="7">
        <f>+A11+1</f>
        <v>9</v>
      </c>
      <c r="B15" s="39" t="s">
        <v>220</v>
      </c>
      <c r="C15" s="7">
        <v>7.85</v>
      </c>
    </row>
    <row r="16" spans="1:19" ht="27" customHeight="1">
      <c r="A16" s="45" t="s">
        <v>126</v>
      </c>
      <c r="B16" s="45" t="s">
        <v>137</v>
      </c>
      <c r="C16" s="42"/>
      <c r="O16" s="9">
        <v>1502.0755199999999</v>
      </c>
    </row>
    <row r="17" spans="1:15" ht="27" customHeight="1">
      <c r="A17" s="7">
        <v>1</v>
      </c>
      <c r="B17" s="7" t="s">
        <v>156</v>
      </c>
      <c r="C17" s="7">
        <v>7.93</v>
      </c>
      <c r="O17" s="9">
        <v>94.59093</v>
      </c>
    </row>
    <row r="18" spans="1:15" ht="27" customHeight="1">
      <c r="A18" s="7">
        <f t="shared" si="1"/>
        <v>2</v>
      </c>
      <c r="B18" s="41" t="s">
        <v>241</v>
      </c>
      <c r="C18" s="41">
        <v>7.93</v>
      </c>
      <c r="O18" s="9">
        <v>554.48776439999995</v>
      </c>
    </row>
    <row r="19" spans="1:15" ht="27" customHeight="1">
      <c r="A19" s="7">
        <f t="shared" si="1"/>
        <v>3</v>
      </c>
      <c r="B19" s="41" t="s">
        <v>230</v>
      </c>
      <c r="C19" s="41">
        <v>7.93</v>
      </c>
      <c r="O19" s="9">
        <v>11682.548822999999</v>
      </c>
    </row>
    <row r="20" spans="1:15" ht="27" customHeight="1">
      <c r="A20" s="39">
        <f t="shared" si="1"/>
        <v>4</v>
      </c>
      <c r="B20" s="44" t="s">
        <v>43</v>
      </c>
      <c r="C20" s="44"/>
      <c r="O20" s="9">
        <f>+SUM(O16:O19)</f>
        <v>13833.703037399999</v>
      </c>
    </row>
    <row r="21" spans="1:15" ht="27" customHeight="1">
      <c r="A21" s="45" t="s">
        <v>127</v>
      </c>
      <c r="B21" s="45" t="s">
        <v>139</v>
      </c>
      <c r="C21" s="42"/>
    </row>
    <row r="22" spans="1:15" ht="27" customHeight="1">
      <c r="A22" s="46">
        <v>1</v>
      </c>
      <c r="B22" s="46" t="s">
        <v>159</v>
      </c>
      <c r="C22" s="46">
        <v>2.73</v>
      </c>
    </row>
    <row r="23" spans="1:15" ht="27" customHeight="1">
      <c r="A23" s="41">
        <f>+A22+1</f>
        <v>2</v>
      </c>
      <c r="B23" s="41" t="s">
        <v>140</v>
      </c>
      <c r="C23" s="41">
        <v>2.73</v>
      </c>
    </row>
    <row r="24" spans="1:15" ht="27" customHeight="1">
      <c r="A24" s="41">
        <f t="shared" ref="A24:A25" si="2">+A23+1</f>
        <v>3</v>
      </c>
      <c r="B24" s="44"/>
      <c r="C24" s="44"/>
    </row>
    <row r="25" spans="1:15" ht="27" customHeight="1">
      <c r="A25" s="8">
        <f t="shared" si="2"/>
        <v>4</v>
      </c>
      <c r="B25" s="8" t="s">
        <v>43</v>
      </c>
      <c r="C25" s="8"/>
    </row>
    <row r="26" spans="1:15" ht="27" customHeight="1">
      <c r="A26" s="38" t="s">
        <v>128</v>
      </c>
      <c r="B26" s="38" t="s">
        <v>141</v>
      </c>
      <c r="C26" s="40"/>
    </row>
    <row r="27" spans="1:15" ht="27" customHeight="1">
      <c r="A27" s="46">
        <v>1</v>
      </c>
      <c r="B27" s="46" t="s">
        <v>142</v>
      </c>
      <c r="C27" s="46">
        <v>8.9</v>
      </c>
    </row>
    <row r="28" spans="1:15" ht="27" customHeight="1">
      <c r="A28" s="41">
        <f>+A27+1</f>
        <v>2</v>
      </c>
      <c r="B28" s="41" t="s">
        <v>43</v>
      </c>
      <c r="C28" s="41"/>
    </row>
    <row r="29" spans="1:15" ht="27" customHeight="1">
      <c r="A29" s="41">
        <f>+A28+1</f>
        <v>3</v>
      </c>
      <c r="B29" s="8" t="s">
        <v>43</v>
      </c>
      <c r="C29" s="8"/>
    </row>
    <row r="30" spans="1:15" ht="27" customHeight="1">
      <c r="A30" s="45" t="s">
        <v>143</v>
      </c>
      <c r="B30" s="45" t="s">
        <v>138</v>
      </c>
      <c r="C30" s="42"/>
    </row>
    <row r="31" spans="1:15" ht="27" customHeight="1">
      <c r="A31" s="7">
        <v>1</v>
      </c>
      <c r="B31" s="7" t="s">
        <v>157</v>
      </c>
      <c r="C31" s="7">
        <v>1.9</v>
      </c>
    </row>
    <row r="32" spans="1:15" ht="27" customHeight="1">
      <c r="A32" s="41">
        <f t="shared" ref="A32:A34" si="3">+A31+1</f>
        <v>2</v>
      </c>
      <c r="B32" s="41" t="s">
        <v>158</v>
      </c>
      <c r="C32" s="41">
        <v>1.9</v>
      </c>
    </row>
    <row r="33" spans="1:3" ht="27" customHeight="1">
      <c r="A33" s="41">
        <f t="shared" si="3"/>
        <v>3</v>
      </c>
      <c r="B33" s="41" t="s">
        <v>288</v>
      </c>
      <c r="C33" s="41">
        <v>1.25</v>
      </c>
    </row>
    <row r="34" spans="1:3" ht="27" customHeight="1">
      <c r="A34" s="44">
        <f t="shared" si="3"/>
        <v>4</v>
      </c>
      <c r="B34" s="44" t="s">
        <v>43</v>
      </c>
      <c r="C34" s="44"/>
    </row>
    <row r="35" spans="1:3" ht="27" customHeight="1">
      <c r="A35" s="42" t="s">
        <v>144</v>
      </c>
      <c r="B35" s="45" t="s">
        <v>153</v>
      </c>
      <c r="C35" s="42"/>
    </row>
    <row r="36" spans="1:3" ht="27" customHeight="1">
      <c r="A36" s="46">
        <v>1</v>
      </c>
      <c r="B36" s="46" t="s">
        <v>146</v>
      </c>
      <c r="C36" s="46">
        <v>19.100000000000001</v>
      </c>
    </row>
    <row r="37" spans="1:3" ht="27" customHeight="1">
      <c r="A37" s="7">
        <f>+A36+1</f>
        <v>2</v>
      </c>
      <c r="B37" s="7" t="s">
        <v>147</v>
      </c>
      <c r="C37" s="7">
        <v>19.5</v>
      </c>
    </row>
    <row r="38" spans="1:3" ht="27" customHeight="1">
      <c r="A38" s="7">
        <f t="shared" ref="A38:A43" si="4">+A37+1</f>
        <v>3</v>
      </c>
      <c r="B38" s="7" t="s">
        <v>148</v>
      </c>
      <c r="C38" s="7">
        <v>11.4</v>
      </c>
    </row>
    <row r="39" spans="1:3" ht="27" customHeight="1">
      <c r="A39" s="7">
        <f t="shared" si="4"/>
        <v>4</v>
      </c>
      <c r="B39" s="7" t="s">
        <v>149</v>
      </c>
      <c r="C39" s="7">
        <v>7.3</v>
      </c>
    </row>
    <row r="40" spans="1:3" ht="27" customHeight="1">
      <c r="A40" s="7">
        <f t="shared" si="4"/>
        <v>5</v>
      </c>
      <c r="B40" s="7" t="s">
        <v>150</v>
      </c>
      <c r="C40" s="7">
        <v>7.73</v>
      </c>
    </row>
    <row r="41" spans="1:3" ht="27" customHeight="1">
      <c r="A41" s="7">
        <f t="shared" si="4"/>
        <v>6</v>
      </c>
      <c r="B41" s="7" t="s">
        <v>151</v>
      </c>
      <c r="C41" s="7">
        <v>7.19</v>
      </c>
    </row>
    <row r="42" spans="1:3" ht="27" customHeight="1">
      <c r="A42" s="7">
        <f t="shared" si="4"/>
        <v>7</v>
      </c>
      <c r="B42" s="7" t="s">
        <v>152</v>
      </c>
      <c r="C42" s="7">
        <v>13.6</v>
      </c>
    </row>
    <row r="43" spans="1:3" ht="27" customHeight="1">
      <c r="A43" s="7">
        <f t="shared" si="4"/>
        <v>8</v>
      </c>
      <c r="B43" s="7" t="s">
        <v>43</v>
      </c>
      <c r="C43" s="7"/>
    </row>
    <row r="44" spans="1:3" ht="27" customHeight="1">
      <c r="A44" s="41">
        <f t="shared" ref="A44:A45" si="5">+A43+1</f>
        <v>9</v>
      </c>
      <c r="B44" s="41" t="s">
        <v>43</v>
      </c>
      <c r="C44" s="41"/>
    </row>
    <row r="45" spans="1:3" ht="27" customHeight="1">
      <c r="A45" s="40">
        <f t="shared" si="5"/>
        <v>10</v>
      </c>
      <c r="B45" s="8" t="s">
        <v>43</v>
      </c>
      <c r="C45" s="8"/>
    </row>
  </sheetData>
  <mergeCells count="1">
    <mergeCell ref="A1:C1"/>
  </mergeCells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7"/>
  <sheetViews>
    <sheetView workbookViewId="0">
      <pane xSplit="3" ySplit="3" topLeftCell="D100" activePane="bottomRight" state="frozen"/>
      <selection pane="topRight" activeCell="D1" sqref="D1"/>
      <selection pane="bottomLeft" activeCell="A4" sqref="A4"/>
      <selection pane="bottomRight" activeCell="B117" sqref="B117"/>
    </sheetView>
  </sheetViews>
  <sheetFormatPr defaultColWidth="9.140625" defaultRowHeight="18.75"/>
  <cols>
    <col min="1" max="1" width="6.140625" style="4" customWidth="1"/>
    <col min="2" max="2" width="20.42578125" style="4" customWidth="1"/>
    <col min="3" max="3" width="8.5703125" style="4" customWidth="1"/>
    <col min="4" max="6" width="20.42578125" style="4" customWidth="1"/>
    <col min="7" max="7" width="19.42578125" style="4" customWidth="1"/>
    <col min="8" max="16384" width="9.140625" style="4"/>
  </cols>
  <sheetData>
    <row r="1" spans="1:7" ht="65.25" customHeight="1">
      <c r="A1" s="164" t="s">
        <v>10</v>
      </c>
      <c r="B1" s="165"/>
      <c r="C1" s="165"/>
      <c r="D1" s="165"/>
      <c r="E1" s="165"/>
      <c r="F1" s="165"/>
    </row>
    <row r="2" spans="1:7" ht="27.75" customHeight="1">
      <c r="A2" s="166" t="s">
        <v>0</v>
      </c>
      <c r="B2" s="167" t="s">
        <v>11</v>
      </c>
      <c r="C2" s="168"/>
      <c r="D2" s="162" t="s">
        <v>40</v>
      </c>
      <c r="E2" s="162" t="s">
        <v>130</v>
      </c>
      <c r="F2" s="162" t="s">
        <v>129</v>
      </c>
      <c r="G2" s="162" t="s">
        <v>218</v>
      </c>
    </row>
    <row r="3" spans="1:7" ht="27.75" customHeight="1">
      <c r="A3" s="163"/>
      <c r="B3" s="49" t="s">
        <v>12</v>
      </c>
      <c r="C3" s="49" t="s">
        <v>13</v>
      </c>
      <c r="D3" s="163"/>
      <c r="E3" s="163"/>
      <c r="F3" s="163"/>
      <c r="G3" s="163"/>
    </row>
    <row r="4" spans="1:7">
      <c r="A4" s="4">
        <v>1</v>
      </c>
      <c r="B4" s="4" t="s">
        <v>14</v>
      </c>
      <c r="C4" s="4" t="s">
        <v>15</v>
      </c>
      <c r="D4" s="4">
        <v>30582.2</v>
      </c>
      <c r="E4" s="4">
        <v>2937.1</v>
      </c>
    </row>
    <row r="5" spans="1:7">
      <c r="A5" s="4">
        <f>A4+1</f>
        <v>2</v>
      </c>
      <c r="B5" s="4" t="s">
        <v>16</v>
      </c>
      <c r="C5" s="4" t="s">
        <v>17</v>
      </c>
      <c r="D5" s="4">
        <v>18721.099999999999</v>
      </c>
      <c r="E5" s="4">
        <v>2329.6999999999998</v>
      </c>
    </row>
    <row r="6" spans="1:7">
      <c r="A6" s="4">
        <f t="shared" ref="A6:A69" si="0">A5+1</f>
        <v>3</v>
      </c>
      <c r="B6" s="4" t="s">
        <v>18</v>
      </c>
      <c r="C6" s="4" t="s">
        <v>19</v>
      </c>
      <c r="D6" s="4">
        <v>11225.1</v>
      </c>
      <c r="E6" s="4">
        <v>1575.7</v>
      </c>
    </row>
    <row r="7" spans="1:7">
      <c r="A7" s="4">
        <f t="shared" si="0"/>
        <v>4</v>
      </c>
      <c r="B7" s="4" t="s">
        <v>20</v>
      </c>
      <c r="C7" s="4" t="s">
        <v>21</v>
      </c>
      <c r="D7" s="4">
        <v>4678.1000000000004</v>
      </c>
      <c r="E7" s="4">
        <v>1164.7</v>
      </c>
    </row>
    <row r="8" spans="1:7">
      <c r="A8" s="4">
        <f t="shared" si="0"/>
        <v>5</v>
      </c>
      <c r="B8" s="4" t="s">
        <v>22</v>
      </c>
      <c r="C8" s="4" t="s">
        <v>23</v>
      </c>
      <c r="D8" s="4">
        <v>3697</v>
      </c>
      <c r="E8" s="4">
        <v>974.3</v>
      </c>
    </row>
    <row r="9" spans="1:7">
      <c r="A9" s="4">
        <f t="shared" si="0"/>
        <v>6</v>
      </c>
      <c r="B9" s="4" t="s">
        <v>24</v>
      </c>
      <c r="C9" s="4" t="s">
        <v>25</v>
      </c>
      <c r="D9" s="4">
        <v>6353.1</v>
      </c>
      <c r="E9" s="4">
        <v>1161.7</v>
      </c>
    </row>
    <row r="10" spans="1:7">
      <c r="A10" s="4">
        <f t="shared" si="0"/>
        <v>7</v>
      </c>
      <c r="B10" s="4" t="s">
        <v>26</v>
      </c>
      <c r="C10" s="4" t="s">
        <v>21</v>
      </c>
      <c r="D10" s="4">
        <v>3000.5</v>
      </c>
      <c r="E10" s="4">
        <v>723.3</v>
      </c>
    </row>
    <row r="11" spans="1:7">
      <c r="A11" s="4">
        <f t="shared" si="0"/>
        <v>8</v>
      </c>
      <c r="B11" s="4" t="s">
        <v>27</v>
      </c>
      <c r="C11" s="4" t="s">
        <v>28</v>
      </c>
      <c r="D11" s="4">
        <v>2159</v>
      </c>
      <c r="E11" s="4">
        <v>574.29999999999995</v>
      </c>
    </row>
    <row r="12" spans="1:7">
      <c r="A12" s="4">
        <f t="shared" si="0"/>
        <v>9</v>
      </c>
      <c r="B12" s="4" t="s">
        <v>41</v>
      </c>
      <c r="C12" s="4">
        <v>5.5</v>
      </c>
      <c r="D12" s="4">
        <v>2043.1</v>
      </c>
      <c r="E12" s="4">
        <v>502.2</v>
      </c>
    </row>
    <row r="13" spans="1:7">
      <c r="A13" s="4">
        <f t="shared" si="0"/>
        <v>10</v>
      </c>
      <c r="B13" s="4" t="s">
        <v>29</v>
      </c>
      <c r="C13" s="4">
        <v>8</v>
      </c>
      <c r="D13" s="4">
        <v>3856.5</v>
      </c>
      <c r="E13" s="4">
        <v>706.9</v>
      </c>
    </row>
    <row r="14" spans="1:7">
      <c r="A14" s="4">
        <f t="shared" si="0"/>
        <v>11</v>
      </c>
      <c r="B14" s="4" t="s">
        <v>30</v>
      </c>
      <c r="C14" s="4">
        <v>7.5</v>
      </c>
      <c r="D14" s="4">
        <v>3126.2</v>
      </c>
      <c r="E14" s="4">
        <v>672.5</v>
      </c>
    </row>
    <row r="15" spans="1:7">
      <c r="A15" s="4">
        <f t="shared" si="0"/>
        <v>12</v>
      </c>
      <c r="B15" s="4" t="s">
        <v>81</v>
      </c>
      <c r="C15" s="4">
        <v>7.2</v>
      </c>
      <c r="D15" s="4">
        <v>2325</v>
      </c>
      <c r="E15" s="4">
        <v>544.4</v>
      </c>
    </row>
    <row r="16" spans="1:7">
      <c r="A16" s="4">
        <f t="shared" si="0"/>
        <v>13</v>
      </c>
      <c r="B16" s="4" t="s">
        <v>82</v>
      </c>
      <c r="C16" s="4">
        <v>6.7</v>
      </c>
      <c r="D16" s="4">
        <v>1918</v>
      </c>
      <c r="E16" s="4">
        <v>487</v>
      </c>
    </row>
    <row r="17" spans="1:5">
      <c r="A17" s="4">
        <f t="shared" si="0"/>
        <v>14</v>
      </c>
      <c r="B17" s="4" t="s">
        <v>31</v>
      </c>
      <c r="C17" s="4">
        <v>6.5</v>
      </c>
      <c r="D17" s="4">
        <v>2366.6999999999998</v>
      </c>
      <c r="E17" s="4">
        <v>557.4</v>
      </c>
    </row>
    <row r="18" spans="1:5">
      <c r="A18" s="4">
        <f t="shared" si="0"/>
        <v>15</v>
      </c>
      <c r="B18" s="4" t="s">
        <v>251</v>
      </c>
      <c r="C18" s="4">
        <v>6</v>
      </c>
      <c r="D18" s="4">
        <v>1708</v>
      </c>
      <c r="E18" s="4">
        <v>473.1</v>
      </c>
    </row>
    <row r="19" spans="1:5">
      <c r="A19" s="4">
        <f t="shared" si="0"/>
        <v>16</v>
      </c>
      <c r="B19" s="4" t="s">
        <v>251</v>
      </c>
      <c r="C19" s="4">
        <v>5</v>
      </c>
      <c r="D19" s="4">
        <v>1188.9000000000001</v>
      </c>
      <c r="E19" s="4">
        <v>369.4</v>
      </c>
    </row>
    <row r="20" spans="1:5">
      <c r="A20" s="4">
        <f t="shared" si="0"/>
        <v>17</v>
      </c>
      <c r="B20" s="4" t="s">
        <v>252</v>
      </c>
      <c r="C20" s="4">
        <v>5.5</v>
      </c>
      <c r="D20" s="4">
        <v>1048.5999999999999</v>
      </c>
      <c r="E20" s="4">
        <v>313.10000000000002</v>
      </c>
    </row>
    <row r="21" spans="1:5">
      <c r="A21" s="4">
        <f t="shared" si="0"/>
        <v>18</v>
      </c>
      <c r="B21" s="4" t="s">
        <v>42</v>
      </c>
      <c r="C21" s="4">
        <v>5</v>
      </c>
      <c r="D21" s="4">
        <v>878.9</v>
      </c>
      <c r="E21" s="4">
        <v>282.39999999999998</v>
      </c>
    </row>
    <row r="22" spans="1:5">
      <c r="A22" s="4">
        <f t="shared" si="0"/>
        <v>19</v>
      </c>
      <c r="B22" s="4" t="s">
        <v>32</v>
      </c>
      <c r="C22" s="4">
        <v>7</v>
      </c>
      <c r="D22" s="4">
        <v>1361.8</v>
      </c>
      <c r="E22" s="4">
        <v>391.5</v>
      </c>
    </row>
    <row r="23" spans="1:5">
      <c r="A23" s="4">
        <f t="shared" si="0"/>
        <v>20</v>
      </c>
      <c r="B23" s="4" t="s">
        <v>33</v>
      </c>
      <c r="C23" s="4">
        <v>10</v>
      </c>
      <c r="D23" s="4">
        <v>1888</v>
      </c>
      <c r="E23" s="4">
        <v>386.3</v>
      </c>
    </row>
    <row r="24" spans="1:5">
      <c r="A24" s="4">
        <f t="shared" si="0"/>
        <v>21</v>
      </c>
      <c r="B24" s="4" t="s">
        <v>34</v>
      </c>
      <c r="C24" s="4">
        <v>7</v>
      </c>
      <c r="D24" s="4">
        <v>1221.8</v>
      </c>
      <c r="E24" s="4">
        <v>351.5</v>
      </c>
    </row>
    <row r="25" spans="1:5">
      <c r="A25" s="4">
        <f t="shared" si="0"/>
        <v>22</v>
      </c>
      <c r="B25" s="4" t="s">
        <v>34</v>
      </c>
      <c r="C25" s="4">
        <v>6</v>
      </c>
      <c r="D25" s="4">
        <v>1054.8</v>
      </c>
      <c r="E25" s="4">
        <v>351.5</v>
      </c>
    </row>
    <row r="26" spans="1:5">
      <c r="A26" s="4">
        <f t="shared" si="0"/>
        <v>23</v>
      </c>
      <c r="B26" s="4" t="s">
        <v>9</v>
      </c>
      <c r="C26" s="4">
        <v>6</v>
      </c>
      <c r="D26" s="4">
        <v>872.7</v>
      </c>
      <c r="E26" s="4">
        <v>293</v>
      </c>
    </row>
    <row r="27" spans="1:5">
      <c r="A27" s="4">
        <f t="shared" si="0"/>
        <v>24</v>
      </c>
      <c r="B27" s="4" t="s">
        <v>8</v>
      </c>
      <c r="C27" s="4">
        <v>6</v>
      </c>
      <c r="D27" s="4">
        <v>752.7</v>
      </c>
      <c r="E27" s="4">
        <v>253</v>
      </c>
    </row>
    <row r="28" spans="1:5">
      <c r="A28" s="4">
        <f t="shared" si="0"/>
        <v>25</v>
      </c>
      <c r="B28" s="4" t="s">
        <v>184</v>
      </c>
      <c r="C28" s="4">
        <v>6</v>
      </c>
      <c r="D28" s="4">
        <v>564.4</v>
      </c>
      <c r="E28" s="4">
        <v>193.4</v>
      </c>
    </row>
    <row r="29" spans="1:5">
      <c r="A29" s="4">
        <f t="shared" si="0"/>
        <v>26</v>
      </c>
      <c r="B29" s="4" t="s">
        <v>184</v>
      </c>
      <c r="C29" s="4">
        <v>4</v>
      </c>
      <c r="D29" s="4">
        <v>389.2</v>
      </c>
      <c r="E29" s="4">
        <v>194.7</v>
      </c>
    </row>
    <row r="30" spans="1:5">
      <c r="A30" s="4">
        <f t="shared" si="0"/>
        <v>27</v>
      </c>
      <c r="B30" s="4" t="s">
        <v>35</v>
      </c>
      <c r="C30" s="4">
        <v>5</v>
      </c>
      <c r="D30" s="4">
        <v>375.5</v>
      </c>
      <c r="E30" s="4">
        <v>155.5</v>
      </c>
    </row>
    <row r="31" spans="1:5">
      <c r="A31" s="4">
        <f t="shared" si="0"/>
        <v>28</v>
      </c>
      <c r="B31" s="4" t="s">
        <v>79</v>
      </c>
      <c r="C31" s="4">
        <v>5</v>
      </c>
      <c r="D31" s="4">
        <v>419.7</v>
      </c>
      <c r="E31" s="4">
        <v>173.6</v>
      </c>
    </row>
    <row r="32" spans="1:5">
      <c r="A32" s="4">
        <f t="shared" si="0"/>
        <v>29</v>
      </c>
      <c r="B32" s="4" t="s">
        <v>253</v>
      </c>
      <c r="C32" s="4">
        <v>5</v>
      </c>
      <c r="D32" s="4">
        <v>480.2</v>
      </c>
      <c r="E32" s="4">
        <v>194.6</v>
      </c>
    </row>
    <row r="33" spans="1:5">
      <c r="A33" s="4">
        <f t="shared" si="0"/>
        <v>30</v>
      </c>
      <c r="B33" s="4" t="s">
        <v>36</v>
      </c>
      <c r="C33" s="4">
        <v>12</v>
      </c>
      <c r="D33" s="4">
        <v>13453.2</v>
      </c>
      <c r="E33" s="4">
        <v>1158.8</v>
      </c>
    </row>
    <row r="34" spans="1:5">
      <c r="A34" s="4">
        <f t="shared" si="0"/>
        <v>31</v>
      </c>
      <c r="B34" s="4" t="s">
        <v>37</v>
      </c>
      <c r="C34" s="4">
        <v>9</v>
      </c>
      <c r="D34" s="4">
        <v>6667.4</v>
      </c>
      <c r="E34" s="4">
        <v>769.1</v>
      </c>
    </row>
    <row r="35" spans="1:5">
      <c r="A35" s="4">
        <f t="shared" si="0"/>
        <v>32</v>
      </c>
      <c r="B35" s="4" t="s">
        <v>38</v>
      </c>
      <c r="C35" s="4">
        <v>12</v>
      </c>
      <c r="D35" s="4">
        <v>8653.2000000000007</v>
      </c>
      <c r="E35" s="4">
        <v>758.8</v>
      </c>
    </row>
    <row r="36" spans="1:5">
      <c r="A36" s="4">
        <f t="shared" si="0"/>
        <v>33</v>
      </c>
      <c r="B36" s="4" t="s">
        <v>254</v>
      </c>
      <c r="C36" s="4">
        <v>9</v>
      </c>
      <c r="D36" s="4">
        <v>4867.3999999999996</v>
      </c>
      <c r="E36" s="4">
        <v>569.1</v>
      </c>
    </row>
    <row r="37" spans="1:5">
      <c r="A37" s="4">
        <f t="shared" si="0"/>
        <v>34</v>
      </c>
      <c r="B37" s="4" t="s">
        <v>39</v>
      </c>
      <c r="C37" s="4">
        <v>9</v>
      </c>
      <c r="D37" s="4">
        <v>3067.4</v>
      </c>
      <c r="E37" s="4">
        <v>369.1</v>
      </c>
    </row>
    <row r="38" spans="1:5">
      <c r="A38" s="4">
        <f t="shared" si="0"/>
        <v>35</v>
      </c>
      <c r="B38" s="4" t="s">
        <v>77</v>
      </c>
      <c r="C38" s="4">
        <v>4</v>
      </c>
      <c r="D38" s="4">
        <v>534.79999999999995</v>
      </c>
      <c r="E38" s="4">
        <v>146.30000000000001</v>
      </c>
    </row>
    <row r="39" spans="1:5">
      <c r="A39" s="4">
        <f t="shared" si="0"/>
        <v>36</v>
      </c>
      <c r="B39" s="4" t="s">
        <v>77</v>
      </c>
      <c r="C39" s="4">
        <v>3</v>
      </c>
      <c r="D39" s="4">
        <v>420.8</v>
      </c>
      <c r="E39" s="4">
        <v>149.69999999999999</v>
      </c>
    </row>
    <row r="40" spans="1:5">
      <c r="A40" s="4">
        <f t="shared" si="0"/>
        <v>37</v>
      </c>
      <c r="B40" s="4" t="s">
        <v>78</v>
      </c>
      <c r="C40" s="4">
        <v>3</v>
      </c>
      <c r="D40" s="4">
        <v>300.8</v>
      </c>
      <c r="E40" s="4">
        <v>109.7</v>
      </c>
    </row>
    <row r="41" spans="1:5">
      <c r="A41" s="4">
        <f t="shared" si="0"/>
        <v>38</v>
      </c>
      <c r="B41" s="4" t="s">
        <v>78</v>
      </c>
      <c r="C41" s="4">
        <v>2</v>
      </c>
      <c r="D41" s="4">
        <v>133.69999999999999</v>
      </c>
      <c r="E41" s="4">
        <v>73.2</v>
      </c>
    </row>
    <row r="42" spans="1:5">
      <c r="A42" s="4">
        <f t="shared" si="0"/>
        <v>39</v>
      </c>
      <c r="B42" s="4" t="s">
        <v>80</v>
      </c>
      <c r="C42" s="4">
        <v>4</v>
      </c>
      <c r="D42" s="4">
        <v>694.8</v>
      </c>
      <c r="E42" s="4">
        <v>186.3</v>
      </c>
    </row>
    <row r="43" spans="1:5">
      <c r="A43" s="4">
        <f t="shared" si="0"/>
        <v>40</v>
      </c>
      <c r="B43" s="4" t="s">
        <v>164</v>
      </c>
      <c r="C43" s="4">
        <v>6</v>
      </c>
      <c r="D43" s="4">
        <v>1310.3</v>
      </c>
      <c r="E43" s="4">
        <v>371.1</v>
      </c>
    </row>
    <row r="44" spans="1:5">
      <c r="A44" s="4">
        <f t="shared" si="0"/>
        <v>41</v>
      </c>
      <c r="B44" s="4" t="s">
        <v>255</v>
      </c>
      <c r="C44" s="4">
        <v>8</v>
      </c>
      <c r="D44" s="4">
        <v>1210</v>
      </c>
      <c r="E44" s="4">
        <v>308.89999999999998</v>
      </c>
    </row>
    <row r="45" spans="1:5">
      <c r="A45" s="4">
        <f t="shared" si="0"/>
        <v>42</v>
      </c>
      <c r="B45" s="4" t="s">
        <v>165</v>
      </c>
      <c r="C45" s="4">
        <v>6.5</v>
      </c>
      <c r="D45" s="4">
        <v>2366.6999999999998</v>
      </c>
      <c r="E45" s="4">
        <v>557.4</v>
      </c>
    </row>
    <row r="46" spans="1:5">
      <c r="A46" s="4">
        <f t="shared" si="0"/>
        <v>43</v>
      </c>
      <c r="B46" s="4" t="s">
        <v>166</v>
      </c>
      <c r="C46" s="4">
        <v>5.5</v>
      </c>
      <c r="D46" s="4">
        <v>1535.6</v>
      </c>
      <c r="E46" s="4">
        <v>422.9</v>
      </c>
    </row>
    <row r="47" spans="1:5">
      <c r="A47" s="4">
        <f t="shared" si="0"/>
        <v>44</v>
      </c>
      <c r="B47" s="4" t="s">
        <v>167</v>
      </c>
      <c r="C47" s="4">
        <v>7.2</v>
      </c>
      <c r="D47" s="4">
        <v>2325</v>
      </c>
      <c r="E47" s="4">
        <v>544.4</v>
      </c>
    </row>
    <row r="48" spans="1:5">
      <c r="A48" s="4">
        <f t="shared" si="0"/>
        <v>45</v>
      </c>
      <c r="B48" s="4" t="s">
        <v>168</v>
      </c>
      <c r="C48" s="4">
        <v>8</v>
      </c>
      <c r="D48" s="4">
        <v>3856.5</v>
      </c>
      <c r="E48" s="4">
        <v>706.9</v>
      </c>
    </row>
    <row r="49" spans="1:5">
      <c r="A49" s="4">
        <f t="shared" si="0"/>
        <v>46</v>
      </c>
      <c r="B49" s="4" t="s">
        <v>169</v>
      </c>
      <c r="C49" s="4">
        <v>7.5</v>
      </c>
      <c r="D49" s="4">
        <v>3126.2</v>
      </c>
      <c r="E49" s="4">
        <v>672.5</v>
      </c>
    </row>
    <row r="50" spans="1:5">
      <c r="A50" s="4">
        <f t="shared" si="0"/>
        <v>47</v>
      </c>
      <c r="B50" s="4" t="s">
        <v>256</v>
      </c>
      <c r="C50" s="4">
        <v>8</v>
      </c>
      <c r="D50" s="4">
        <v>2832</v>
      </c>
      <c r="E50" s="4">
        <v>597.70000000000005</v>
      </c>
    </row>
    <row r="51" spans="1:5">
      <c r="A51" s="4">
        <f t="shared" si="0"/>
        <v>48</v>
      </c>
      <c r="B51" s="4" t="s">
        <v>170</v>
      </c>
      <c r="C51" s="4">
        <v>5</v>
      </c>
      <c r="D51" s="4">
        <v>1335.6</v>
      </c>
      <c r="E51" s="4">
        <v>282.89999999999998</v>
      </c>
    </row>
    <row r="52" spans="1:5">
      <c r="A52" s="4">
        <f t="shared" si="0"/>
        <v>49</v>
      </c>
      <c r="B52" s="4" t="s">
        <v>171</v>
      </c>
      <c r="C52" s="4">
        <v>4</v>
      </c>
      <c r="D52" s="4">
        <v>2294.8000000000002</v>
      </c>
      <c r="E52" s="4">
        <v>586.29999999999995</v>
      </c>
    </row>
    <row r="53" spans="1:5">
      <c r="A53" s="4">
        <f t="shared" si="0"/>
        <v>50</v>
      </c>
      <c r="B53" s="4" t="s">
        <v>172</v>
      </c>
      <c r="C53" s="4" t="s">
        <v>173</v>
      </c>
      <c r="D53" s="4">
        <v>3259</v>
      </c>
      <c r="E53" s="4">
        <v>874.3</v>
      </c>
    </row>
    <row r="54" spans="1:5">
      <c r="A54" s="4">
        <f t="shared" si="0"/>
        <v>51</v>
      </c>
      <c r="B54" s="4" t="s">
        <v>172</v>
      </c>
      <c r="C54" s="4" t="s">
        <v>201</v>
      </c>
      <c r="D54" s="4">
        <v>3965</v>
      </c>
      <c r="E54" s="4">
        <v>872.3</v>
      </c>
    </row>
    <row r="55" spans="1:5">
      <c r="A55" s="4">
        <f t="shared" si="0"/>
        <v>52</v>
      </c>
      <c r="B55" s="4" t="s">
        <v>174</v>
      </c>
      <c r="C55" s="4" t="s">
        <v>175</v>
      </c>
      <c r="D55" s="4">
        <v>2667</v>
      </c>
      <c r="E55" s="4">
        <v>775.3</v>
      </c>
    </row>
    <row r="56" spans="1:5">
      <c r="A56" s="4">
        <f t="shared" si="0"/>
        <v>53</v>
      </c>
      <c r="B56" s="4" t="s">
        <v>39</v>
      </c>
      <c r="C56" s="4">
        <v>5</v>
      </c>
      <c r="D56" s="4">
        <v>1835.6</v>
      </c>
      <c r="E56" s="4">
        <v>382.9</v>
      </c>
    </row>
    <row r="57" spans="1:5">
      <c r="A57" s="4">
        <f t="shared" si="0"/>
        <v>54</v>
      </c>
      <c r="B57" s="4" t="s">
        <v>38</v>
      </c>
      <c r="C57" s="4">
        <v>6</v>
      </c>
      <c r="D57" s="4">
        <v>4563.3</v>
      </c>
      <c r="E57" s="4">
        <v>779.4</v>
      </c>
    </row>
    <row r="58" spans="1:5">
      <c r="A58" s="4">
        <f t="shared" si="0"/>
        <v>55</v>
      </c>
      <c r="B58" s="4" t="s">
        <v>77</v>
      </c>
      <c r="C58" s="4">
        <v>2</v>
      </c>
      <c r="D58" s="4">
        <v>293.7</v>
      </c>
      <c r="E58" s="4">
        <v>153.19999999999999</v>
      </c>
    </row>
    <row r="59" spans="1:5">
      <c r="A59" s="4">
        <f t="shared" si="0"/>
        <v>56</v>
      </c>
      <c r="B59" s="4" t="s">
        <v>176</v>
      </c>
      <c r="C59" s="4">
        <v>1.2</v>
      </c>
      <c r="D59" s="4">
        <v>134.6</v>
      </c>
      <c r="E59" s="4">
        <v>115.9</v>
      </c>
    </row>
    <row r="60" spans="1:5">
      <c r="A60" s="4">
        <f t="shared" si="0"/>
        <v>57</v>
      </c>
      <c r="B60" s="4" t="s">
        <v>176</v>
      </c>
      <c r="C60" s="4">
        <v>2</v>
      </c>
      <c r="D60" s="4">
        <v>213.7</v>
      </c>
      <c r="E60" s="4">
        <v>113.1</v>
      </c>
    </row>
    <row r="61" spans="1:5">
      <c r="A61" s="4">
        <f t="shared" si="0"/>
        <v>58</v>
      </c>
      <c r="B61" s="4" t="s">
        <v>177</v>
      </c>
      <c r="C61" s="4">
        <v>1.4</v>
      </c>
      <c r="D61" s="4">
        <v>239.1</v>
      </c>
      <c r="E61" s="4">
        <v>175.2</v>
      </c>
    </row>
    <row r="62" spans="1:5">
      <c r="A62" s="4">
        <f t="shared" si="0"/>
        <v>59</v>
      </c>
      <c r="B62" s="4" t="s">
        <v>178</v>
      </c>
      <c r="C62" s="4">
        <v>4</v>
      </c>
      <c r="D62" s="4">
        <v>304.89999999999998</v>
      </c>
      <c r="E62" s="4">
        <v>154</v>
      </c>
    </row>
    <row r="63" spans="1:5">
      <c r="A63" s="4">
        <f t="shared" si="0"/>
        <v>60</v>
      </c>
      <c r="B63" s="4" t="s">
        <v>257</v>
      </c>
      <c r="C63" s="4">
        <v>1.5</v>
      </c>
      <c r="D63" s="4">
        <v>75.2</v>
      </c>
      <c r="E63" s="4">
        <v>54.9</v>
      </c>
    </row>
    <row r="64" spans="1:5">
      <c r="A64" s="4">
        <f t="shared" si="0"/>
        <v>61</v>
      </c>
      <c r="B64" s="4" t="s">
        <v>258</v>
      </c>
      <c r="C64" s="4">
        <v>1.5</v>
      </c>
      <c r="D64" s="4">
        <v>135.19999999999999</v>
      </c>
      <c r="E64" s="4">
        <v>94.9</v>
      </c>
    </row>
    <row r="65" spans="1:5">
      <c r="A65" s="4">
        <f t="shared" si="0"/>
        <v>62</v>
      </c>
      <c r="B65" s="4" t="s">
        <v>259</v>
      </c>
      <c r="C65" s="4">
        <v>1.5</v>
      </c>
      <c r="D65" s="4">
        <v>105.2</v>
      </c>
      <c r="E65" s="4">
        <v>74.900000000000006</v>
      </c>
    </row>
    <row r="66" spans="1:5">
      <c r="A66" s="4">
        <f t="shared" si="0"/>
        <v>63</v>
      </c>
      <c r="B66" s="4" t="s">
        <v>179</v>
      </c>
      <c r="C66" s="4">
        <v>1.5</v>
      </c>
      <c r="D66" s="4">
        <v>285.2</v>
      </c>
      <c r="E66" s="4">
        <v>194.9</v>
      </c>
    </row>
    <row r="67" spans="1:5">
      <c r="A67" s="4">
        <f t="shared" si="0"/>
        <v>64</v>
      </c>
      <c r="B67" s="4" t="s">
        <v>163</v>
      </c>
      <c r="C67" s="4">
        <v>4</v>
      </c>
      <c r="D67" s="4">
        <v>289.2</v>
      </c>
      <c r="E67" s="4">
        <v>194.63</v>
      </c>
    </row>
    <row r="68" spans="1:5">
      <c r="A68" s="4">
        <f t="shared" si="0"/>
        <v>65</v>
      </c>
      <c r="B68" s="4" t="s">
        <v>260</v>
      </c>
      <c r="C68" s="4">
        <v>5.5</v>
      </c>
      <c r="D68" s="4">
        <v>1535.6</v>
      </c>
      <c r="E68" s="4">
        <v>422.8</v>
      </c>
    </row>
    <row r="69" spans="1:5">
      <c r="A69" s="4">
        <f t="shared" si="0"/>
        <v>66</v>
      </c>
      <c r="B69" s="4" t="s">
        <v>180</v>
      </c>
      <c r="C69" s="4">
        <v>1.5</v>
      </c>
      <c r="D69" s="4">
        <v>180.2</v>
      </c>
      <c r="E69" s="4">
        <v>124.8</v>
      </c>
    </row>
    <row r="70" spans="1:5">
      <c r="A70" s="4">
        <f t="shared" ref="A70:A117" si="1">A69+1</f>
        <v>67</v>
      </c>
      <c r="B70" s="4" t="s">
        <v>181</v>
      </c>
      <c r="C70" s="4">
        <v>4</v>
      </c>
      <c r="D70" s="4">
        <v>226</v>
      </c>
      <c r="E70" s="4">
        <v>117</v>
      </c>
    </row>
    <row r="71" spans="1:5">
      <c r="A71" s="4">
        <f t="shared" si="1"/>
        <v>68</v>
      </c>
      <c r="B71" s="4" t="s">
        <v>182</v>
      </c>
      <c r="C71" s="4">
        <v>6</v>
      </c>
      <c r="D71" s="4">
        <v>688</v>
      </c>
      <c r="E71" s="4">
        <v>235</v>
      </c>
    </row>
    <row r="72" spans="1:5">
      <c r="A72" s="4">
        <f t="shared" si="1"/>
        <v>69</v>
      </c>
      <c r="B72" s="4" t="s">
        <v>78</v>
      </c>
      <c r="C72" s="4">
        <v>1.4</v>
      </c>
      <c r="D72" s="4">
        <v>155.1</v>
      </c>
      <c r="E72" s="4">
        <v>115.2</v>
      </c>
    </row>
    <row r="73" spans="1:5">
      <c r="A73" s="4">
        <f t="shared" si="1"/>
        <v>70</v>
      </c>
      <c r="B73" s="4" t="s">
        <v>77</v>
      </c>
      <c r="C73" s="4">
        <v>1.4</v>
      </c>
      <c r="D73" s="4">
        <v>211.1</v>
      </c>
      <c r="E73" s="4">
        <v>155.19999999999999</v>
      </c>
    </row>
    <row r="74" spans="1:5">
      <c r="A74" s="4">
        <f t="shared" si="1"/>
        <v>71</v>
      </c>
      <c r="B74" s="4" t="s">
        <v>183</v>
      </c>
      <c r="C74" s="4">
        <v>3</v>
      </c>
      <c r="D74" s="4">
        <v>376.6</v>
      </c>
      <c r="E74" s="4">
        <v>180.9</v>
      </c>
    </row>
    <row r="75" spans="1:5">
      <c r="A75" s="4">
        <f t="shared" si="1"/>
        <v>72</v>
      </c>
      <c r="B75" s="4" t="s">
        <v>9</v>
      </c>
      <c r="C75" s="4">
        <v>9</v>
      </c>
      <c r="D75" s="4">
        <v>1269.0999999999999</v>
      </c>
      <c r="E75" s="4">
        <v>291.2</v>
      </c>
    </row>
    <row r="76" spans="1:5">
      <c r="A76" s="4">
        <f t="shared" si="1"/>
        <v>73</v>
      </c>
      <c r="B76" s="4" t="s">
        <v>261</v>
      </c>
      <c r="C76" s="4" t="s">
        <v>185</v>
      </c>
      <c r="D76" s="4">
        <v>1188.9000000000001</v>
      </c>
      <c r="E76" s="4">
        <v>369.3</v>
      </c>
    </row>
    <row r="77" spans="1:5">
      <c r="A77" s="4">
        <f t="shared" si="1"/>
        <v>74</v>
      </c>
      <c r="B77" s="4" t="s">
        <v>186</v>
      </c>
      <c r="C77" s="4">
        <v>2.5</v>
      </c>
      <c r="D77" s="4">
        <v>210</v>
      </c>
      <c r="E77" s="4">
        <v>146.4</v>
      </c>
    </row>
    <row r="78" spans="1:5">
      <c r="A78" s="4">
        <f t="shared" si="1"/>
        <v>75</v>
      </c>
      <c r="B78" s="4" t="s">
        <v>187</v>
      </c>
      <c r="C78" s="4" t="s">
        <v>188</v>
      </c>
      <c r="D78" s="4">
        <v>2180.6</v>
      </c>
      <c r="E78" s="4">
        <v>552.20000000000005</v>
      </c>
    </row>
    <row r="79" spans="1:5">
      <c r="A79" s="4">
        <f t="shared" si="1"/>
        <v>76</v>
      </c>
      <c r="B79" s="4" t="s">
        <v>189</v>
      </c>
      <c r="C79" s="4" t="s">
        <v>190</v>
      </c>
      <c r="D79" s="4">
        <v>4610.2</v>
      </c>
      <c r="E79" s="4">
        <v>724.9</v>
      </c>
    </row>
    <row r="80" spans="1:5">
      <c r="A80" s="4">
        <f t="shared" si="1"/>
        <v>77</v>
      </c>
      <c r="B80" s="4" t="s">
        <v>191</v>
      </c>
      <c r="C80" s="4">
        <v>9</v>
      </c>
      <c r="D80" s="4">
        <v>2274.5</v>
      </c>
      <c r="E80" s="4">
        <v>509.7</v>
      </c>
    </row>
    <row r="81" spans="1:5">
      <c r="A81" s="4">
        <f t="shared" si="1"/>
        <v>78</v>
      </c>
      <c r="B81" s="4" t="s">
        <v>192</v>
      </c>
      <c r="C81" s="4">
        <v>3</v>
      </c>
      <c r="D81" s="4">
        <v>142.80000000000001</v>
      </c>
      <c r="E81" s="4">
        <v>96.6</v>
      </c>
    </row>
    <row r="82" spans="1:5">
      <c r="A82" s="4">
        <f t="shared" si="1"/>
        <v>79</v>
      </c>
      <c r="B82" s="4" t="s">
        <v>32</v>
      </c>
      <c r="C82" s="4">
        <v>10</v>
      </c>
      <c r="D82" s="4">
        <v>1900.5</v>
      </c>
      <c r="E82" s="4">
        <v>389.7</v>
      </c>
    </row>
    <row r="83" spans="1:5">
      <c r="A83" s="4">
        <f t="shared" si="1"/>
        <v>80</v>
      </c>
      <c r="B83" s="4" t="s">
        <v>34</v>
      </c>
      <c r="C83" s="4">
        <v>10</v>
      </c>
      <c r="D83" s="4">
        <v>1700.5</v>
      </c>
      <c r="E83" s="4">
        <v>349.7</v>
      </c>
    </row>
    <row r="84" spans="1:5">
      <c r="A84" s="4">
        <f t="shared" si="1"/>
        <v>81</v>
      </c>
      <c r="B84" s="4" t="s">
        <v>242</v>
      </c>
      <c r="C84" s="4">
        <v>3.2</v>
      </c>
      <c r="D84" s="4">
        <v>892.7</v>
      </c>
      <c r="E84" s="4">
        <v>289.10000000000002</v>
      </c>
    </row>
    <row r="85" spans="1:5">
      <c r="A85" s="4">
        <f t="shared" si="1"/>
        <v>82</v>
      </c>
      <c r="B85" s="4" t="s">
        <v>193</v>
      </c>
      <c r="C85" s="4">
        <v>3.2</v>
      </c>
      <c r="D85" s="4">
        <v>956.7</v>
      </c>
      <c r="E85" s="4">
        <v>309.10000000000002</v>
      </c>
    </row>
    <row r="86" spans="1:5">
      <c r="A86" s="4">
        <f t="shared" si="1"/>
        <v>83</v>
      </c>
      <c r="B86" s="4" t="s">
        <v>194</v>
      </c>
      <c r="C86" s="4">
        <v>3.2</v>
      </c>
      <c r="D86" s="4">
        <v>700.7</v>
      </c>
      <c r="E86" s="4">
        <v>229.1</v>
      </c>
    </row>
    <row r="87" spans="1:5">
      <c r="A87" s="4">
        <f t="shared" si="1"/>
        <v>84</v>
      </c>
      <c r="B87" s="4" t="s">
        <v>170</v>
      </c>
      <c r="C87" s="4">
        <v>3.2</v>
      </c>
      <c r="D87" s="4">
        <v>892.7</v>
      </c>
      <c r="E87" s="4">
        <v>289.10000000000002</v>
      </c>
    </row>
    <row r="88" spans="1:5">
      <c r="A88" s="4">
        <f t="shared" si="1"/>
        <v>85</v>
      </c>
      <c r="B88" s="4" t="s">
        <v>195</v>
      </c>
      <c r="C88" s="4">
        <v>3.2</v>
      </c>
      <c r="D88" s="4">
        <v>700.7</v>
      </c>
      <c r="E88" s="4">
        <v>229.1</v>
      </c>
    </row>
    <row r="89" spans="1:5">
      <c r="A89" s="4">
        <f t="shared" si="1"/>
        <v>86</v>
      </c>
      <c r="B89" s="4" t="s">
        <v>196</v>
      </c>
      <c r="C89" s="4">
        <v>2.2999999999999998</v>
      </c>
      <c r="D89" s="4">
        <v>379.3</v>
      </c>
      <c r="E89" s="4">
        <v>172.1</v>
      </c>
    </row>
    <row r="90" spans="1:5">
      <c r="A90" s="4">
        <f t="shared" si="1"/>
        <v>87</v>
      </c>
      <c r="B90" s="4" t="s">
        <v>197</v>
      </c>
      <c r="C90" s="4">
        <v>2.2999999999999998</v>
      </c>
      <c r="D90" s="4">
        <v>333.2</v>
      </c>
      <c r="E90" s="4">
        <v>152.1</v>
      </c>
    </row>
    <row r="91" spans="1:5">
      <c r="A91" s="4">
        <f t="shared" si="1"/>
        <v>88</v>
      </c>
      <c r="B91" s="4" t="s">
        <v>262</v>
      </c>
      <c r="C91" s="4">
        <v>1.6</v>
      </c>
      <c r="D91" s="4">
        <v>239.1</v>
      </c>
      <c r="E91" s="4">
        <v>154.5</v>
      </c>
    </row>
    <row r="92" spans="1:5">
      <c r="A92" s="4">
        <f t="shared" si="1"/>
        <v>89</v>
      </c>
      <c r="B92" s="4" t="s">
        <v>198</v>
      </c>
      <c r="C92" s="4">
        <v>3.2</v>
      </c>
      <c r="D92" s="4">
        <v>444.7</v>
      </c>
      <c r="E92" s="4">
        <v>149.1</v>
      </c>
    </row>
    <row r="93" spans="1:5">
      <c r="A93" s="4">
        <f t="shared" si="1"/>
        <v>90</v>
      </c>
      <c r="B93" s="4" t="s">
        <v>199</v>
      </c>
      <c r="C93" s="4">
        <v>2.2999999999999998</v>
      </c>
      <c r="D93" s="4">
        <v>425.2</v>
      </c>
      <c r="E93" s="4">
        <v>192.1</v>
      </c>
    </row>
    <row r="94" spans="1:5">
      <c r="A94" s="4">
        <f t="shared" si="1"/>
        <v>91</v>
      </c>
      <c r="B94" s="4" t="s">
        <v>200</v>
      </c>
      <c r="C94" s="4">
        <v>3.2</v>
      </c>
      <c r="D94" s="4">
        <v>572.70000000000005</v>
      </c>
      <c r="E94" s="4">
        <v>189.1</v>
      </c>
    </row>
    <row r="95" spans="1:5">
      <c r="A95" s="4">
        <f t="shared" si="1"/>
        <v>92</v>
      </c>
      <c r="B95" s="4" t="s">
        <v>202</v>
      </c>
      <c r="C95" s="4" t="s">
        <v>203</v>
      </c>
      <c r="D95" s="4">
        <v>8337.1</v>
      </c>
      <c r="E95" s="4">
        <v>1561.7</v>
      </c>
    </row>
    <row r="96" spans="1:5">
      <c r="A96" s="4">
        <f t="shared" si="1"/>
        <v>93</v>
      </c>
      <c r="B96" s="4" t="s">
        <v>204</v>
      </c>
      <c r="C96" s="4">
        <v>20</v>
      </c>
      <c r="D96" s="4">
        <v>7600.21</v>
      </c>
      <c r="E96" s="4">
        <v>782.4</v>
      </c>
    </row>
    <row r="97" spans="1:5">
      <c r="A97" s="4">
        <f t="shared" si="1"/>
        <v>94</v>
      </c>
      <c r="B97" s="4" t="s">
        <v>205</v>
      </c>
      <c r="C97" s="4" t="s">
        <v>206</v>
      </c>
      <c r="D97" s="4">
        <v>13171.1</v>
      </c>
      <c r="E97" s="4">
        <v>1955.68</v>
      </c>
    </row>
    <row r="98" spans="1:5">
      <c r="A98" s="4">
        <f t="shared" si="1"/>
        <v>95</v>
      </c>
      <c r="B98" s="4" t="s">
        <v>207</v>
      </c>
      <c r="C98" s="4" t="s">
        <v>208</v>
      </c>
      <c r="D98" s="4">
        <v>11845.07</v>
      </c>
      <c r="E98" s="4">
        <v>1757.68</v>
      </c>
    </row>
    <row r="99" spans="1:5">
      <c r="A99" s="4">
        <f t="shared" si="1"/>
        <v>96</v>
      </c>
      <c r="B99" s="4" t="s">
        <v>209</v>
      </c>
      <c r="C99" s="4" t="s">
        <v>210</v>
      </c>
      <c r="D99" s="4">
        <v>9143.07</v>
      </c>
      <c r="E99" s="4">
        <v>1459.68</v>
      </c>
    </row>
    <row r="100" spans="1:5">
      <c r="A100" s="4">
        <f t="shared" si="1"/>
        <v>97</v>
      </c>
      <c r="B100" s="4" t="s">
        <v>211</v>
      </c>
      <c r="C100" s="4">
        <v>15</v>
      </c>
      <c r="D100" s="4">
        <v>4274.1400000000003</v>
      </c>
      <c r="E100" s="4">
        <v>585.41</v>
      </c>
    </row>
    <row r="101" spans="1:5">
      <c r="A101" s="4">
        <f t="shared" si="1"/>
        <v>98</v>
      </c>
      <c r="B101" s="4" t="s">
        <v>212</v>
      </c>
      <c r="C101" s="4" t="s">
        <v>213</v>
      </c>
      <c r="D101" s="4">
        <v>4398.42</v>
      </c>
      <c r="E101" s="4">
        <v>805.11</v>
      </c>
    </row>
    <row r="102" spans="1:5">
      <c r="A102" s="4">
        <f t="shared" si="1"/>
        <v>99</v>
      </c>
      <c r="B102" s="4" t="s">
        <v>214</v>
      </c>
      <c r="C102" s="4">
        <v>4.8</v>
      </c>
      <c r="D102" s="4">
        <v>2008.51</v>
      </c>
      <c r="E102" s="4">
        <v>846.48</v>
      </c>
    </row>
    <row r="103" spans="1:5">
      <c r="A103" s="4">
        <f t="shared" si="1"/>
        <v>100</v>
      </c>
      <c r="B103" s="4" t="s">
        <v>263</v>
      </c>
      <c r="C103" s="4">
        <v>5</v>
      </c>
      <c r="D103" s="4">
        <v>605</v>
      </c>
    </row>
    <row r="104" spans="1:5">
      <c r="A104" s="4">
        <f t="shared" si="1"/>
        <v>101</v>
      </c>
      <c r="B104" s="4" t="s">
        <v>264</v>
      </c>
      <c r="C104" s="4">
        <v>7</v>
      </c>
      <c r="D104" s="4">
        <v>1355</v>
      </c>
    </row>
    <row r="105" spans="1:5">
      <c r="A105" s="4">
        <f t="shared" si="1"/>
        <v>102</v>
      </c>
      <c r="B105" s="4" t="s">
        <v>39</v>
      </c>
      <c r="C105" s="4">
        <v>5</v>
      </c>
      <c r="D105" s="4">
        <v>1836</v>
      </c>
    </row>
    <row r="106" spans="1:5">
      <c r="A106" s="4">
        <f t="shared" si="1"/>
        <v>103</v>
      </c>
      <c r="B106" s="4" t="s">
        <v>217</v>
      </c>
      <c r="C106" s="4">
        <v>5</v>
      </c>
      <c r="D106" s="4">
        <v>838</v>
      </c>
    </row>
    <row r="107" spans="1:5">
      <c r="A107" s="4">
        <f t="shared" si="1"/>
        <v>104</v>
      </c>
      <c r="B107" s="4" t="s">
        <v>178</v>
      </c>
      <c r="C107" s="4">
        <v>5</v>
      </c>
      <c r="D107" s="4">
        <v>306</v>
      </c>
    </row>
    <row r="108" spans="1:5">
      <c r="A108" s="4">
        <f t="shared" si="1"/>
        <v>105</v>
      </c>
      <c r="B108" s="4" t="s">
        <v>77</v>
      </c>
      <c r="C108" s="4">
        <v>2</v>
      </c>
      <c r="D108" s="4">
        <v>294</v>
      </c>
    </row>
    <row r="109" spans="1:5">
      <c r="A109" s="4">
        <f t="shared" si="1"/>
        <v>106</v>
      </c>
      <c r="B109" s="4" t="s">
        <v>265</v>
      </c>
      <c r="C109" s="4">
        <v>8</v>
      </c>
      <c r="D109" s="4">
        <v>3408</v>
      </c>
    </row>
    <row r="110" spans="1:5">
      <c r="A110" s="4">
        <f t="shared" si="1"/>
        <v>107</v>
      </c>
      <c r="B110" s="4" t="s">
        <v>163</v>
      </c>
      <c r="C110" s="4">
        <v>4</v>
      </c>
      <c r="D110" s="4">
        <v>386</v>
      </c>
    </row>
    <row r="111" spans="1:5">
      <c r="A111" s="4">
        <f t="shared" si="1"/>
        <v>108</v>
      </c>
      <c r="B111" s="4" t="s">
        <v>266</v>
      </c>
      <c r="C111" s="4">
        <v>1.4</v>
      </c>
      <c r="D111" s="4">
        <v>324</v>
      </c>
    </row>
    <row r="112" spans="1:5">
      <c r="A112" s="4">
        <f t="shared" si="1"/>
        <v>109</v>
      </c>
      <c r="B112" s="4" t="s">
        <v>267</v>
      </c>
      <c r="C112" s="4">
        <v>4</v>
      </c>
      <c r="D112" s="4">
        <v>467</v>
      </c>
    </row>
    <row r="113" spans="1:4">
      <c r="A113" s="4">
        <f t="shared" si="1"/>
        <v>110</v>
      </c>
      <c r="B113" s="4" t="s">
        <v>263</v>
      </c>
      <c r="C113" s="4">
        <v>4</v>
      </c>
      <c r="D113" s="4">
        <v>800</v>
      </c>
    </row>
    <row r="114" spans="1:4">
      <c r="A114" s="4">
        <f t="shared" si="1"/>
        <v>111</v>
      </c>
      <c r="B114" s="4" t="s">
        <v>263</v>
      </c>
      <c r="C114" s="4">
        <v>5</v>
      </c>
      <c r="D114" s="4">
        <v>614</v>
      </c>
    </row>
    <row r="115" spans="1:4">
      <c r="A115" s="4">
        <f t="shared" si="1"/>
        <v>112</v>
      </c>
      <c r="B115" s="4" t="s">
        <v>268</v>
      </c>
      <c r="C115" s="4">
        <v>2</v>
      </c>
      <c r="D115" s="4">
        <v>75.2</v>
      </c>
    </row>
    <row r="116" spans="1:4">
      <c r="A116" s="4">
        <f t="shared" si="1"/>
        <v>113</v>
      </c>
      <c r="B116" s="4" t="s">
        <v>269</v>
      </c>
      <c r="C116" s="4" t="s">
        <v>270</v>
      </c>
      <c r="D116" s="4">
        <v>6332</v>
      </c>
    </row>
    <row r="117" spans="1:4">
      <c r="A117" s="4">
        <f t="shared" si="1"/>
        <v>114</v>
      </c>
      <c r="B117" s="4" t="s">
        <v>271</v>
      </c>
      <c r="C117" s="4" t="s">
        <v>175</v>
      </c>
      <c r="D117" s="4">
        <v>2698</v>
      </c>
    </row>
  </sheetData>
  <autoFilter ref="A3:G117" xr:uid="{00000000-0009-0000-0000-000002000000}"/>
  <mergeCells count="7">
    <mergeCell ref="G2:G3"/>
    <mergeCell ref="F2:F3"/>
    <mergeCell ref="A1:F1"/>
    <mergeCell ref="A2:A3"/>
    <mergeCell ref="B2:C2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workbookViewId="0">
      <selection activeCell="B91" sqref="B91"/>
    </sheetView>
  </sheetViews>
  <sheetFormatPr defaultRowHeight="16.5"/>
  <cols>
    <col min="1" max="1" width="60" style="26" customWidth="1"/>
    <col min="2" max="2" width="10.42578125" style="6" customWidth="1"/>
    <col min="3" max="3" width="22" style="27" customWidth="1"/>
    <col min="4" max="242" width="9.140625" style="9"/>
    <col min="243" max="243" width="13.42578125" style="9" customWidth="1"/>
    <col min="244" max="244" width="22.140625" style="9" bestFit="1" customWidth="1"/>
    <col min="245" max="245" width="41.42578125" style="9" customWidth="1"/>
    <col min="246" max="246" width="5.85546875" style="9" customWidth="1"/>
    <col min="247" max="247" width="7.28515625" style="9" customWidth="1"/>
    <col min="248" max="249" width="13.5703125" style="9" customWidth="1"/>
    <col min="250" max="252" width="0" style="9" hidden="1" customWidth="1"/>
    <col min="253" max="257" width="14.5703125" style="9" customWidth="1"/>
    <col min="258" max="498" width="9.140625" style="9"/>
    <col min="499" max="499" width="13.42578125" style="9" customWidth="1"/>
    <col min="500" max="500" width="22.140625" style="9" bestFit="1" customWidth="1"/>
    <col min="501" max="501" width="41.42578125" style="9" customWidth="1"/>
    <col min="502" max="502" width="5.85546875" style="9" customWidth="1"/>
    <col min="503" max="503" width="7.28515625" style="9" customWidth="1"/>
    <col min="504" max="505" width="13.5703125" style="9" customWidth="1"/>
    <col min="506" max="508" width="0" style="9" hidden="1" customWidth="1"/>
    <col min="509" max="513" width="14.5703125" style="9" customWidth="1"/>
    <col min="514" max="754" width="9.140625" style="9"/>
    <col min="755" max="755" width="13.42578125" style="9" customWidth="1"/>
    <col min="756" max="756" width="22.140625" style="9" bestFit="1" customWidth="1"/>
    <col min="757" max="757" width="41.42578125" style="9" customWidth="1"/>
    <col min="758" max="758" width="5.85546875" style="9" customWidth="1"/>
    <col min="759" max="759" width="7.28515625" style="9" customWidth="1"/>
    <col min="760" max="761" width="13.5703125" style="9" customWidth="1"/>
    <col min="762" max="764" width="0" style="9" hidden="1" customWidth="1"/>
    <col min="765" max="769" width="14.5703125" style="9" customWidth="1"/>
    <col min="770" max="1010" width="9.140625" style="9"/>
    <col min="1011" max="1011" width="13.42578125" style="9" customWidth="1"/>
    <col min="1012" max="1012" width="22.140625" style="9" bestFit="1" customWidth="1"/>
    <col min="1013" max="1013" width="41.42578125" style="9" customWidth="1"/>
    <col min="1014" max="1014" width="5.85546875" style="9" customWidth="1"/>
    <col min="1015" max="1015" width="7.28515625" style="9" customWidth="1"/>
    <col min="1016" max="1017" width="13.5703125" style="9" customWidth="1"/>
    <col min="1018" max="1020" width="0" style="9" hidden="1" customWidth="1"/>
    <col min="1021" max="1025" width="14.5703125" style="9" customWidth="1"/>
    <col min="1026" max="1266" width="9.140625" style="9"/>
    <col min="1267" max="1267" width="13.42578125" style="9" customWidth="1"/>
    <col min="1268" max="1268" width="22.140625" style="9" bestFit="1" customWidth="1"/>
    <col min="1269" max="1269" width="41.42578125" style="9" customWidth="1"/>
    <col min="1270" max="1270" width="5.85546875" style="9" customWidth="1"/>
    <col min="1271" max="1271" width="7.28515625" style="9" customWidth="1"/>
    <col min="1272" max="1273" width="13.5703125" style="9" customWidth="1"/>
    <col min="1274" max="1276" width="0" style="9" hidden="1" customWidth="1"/>
    <col min="1277" max="1281" width="14.5703125" style="9" customWidth="1"/>
    <col min="1282" max="1522" width="9.140625" style="9"/>
    <col min="1523" max="1523" width="13.42578125" style="9" customWidth="1"/>
    <col min="1524" max="1524" width="22.140625" style="9" bestFit="1" customWidth="1"/>
    <col min="1525" max="1525" width="41.42578125" style="9" customWidth="1"/>
    <col min="1526" max="1526" width="5.85546875" style="9" customWidth="1"/>
    <col min="1527" max="1527" width="7.28515625" style="9" customWidth="1"/>
    <col min="1528" max="1529" width="13.5703125" style="9" customWidth="1"/>
    <col min="1530" max="1532" width="0" style="9" hidden="1" customWidth="1"/>
    <col min="1533" max="1537" width="14.5703125" style="9" customWidth="1"/>
    <col min="1538" max="1778" width="9.140625" style="9"/>
    <col min="1779" max="1779" width="13.42578125" style="9" customWidth="1"/>
    <col min="1780" max="1780" width="22.140625" style="9" bestFit="1" customWidth="1"/>
    <col min="1781" max="1781" width="41.42578125" style="9" customWidth="1"/>
    <col min="1782" max="1782" width="5.85546875" style="9" customWidth="1"/>
    <col min="1783" max="1783" width="7.28515625" style="9" customWidth="1"/>
    <col min="1784" max="1785" width="13.5703125" style="9" customWidth="1"/>
    <col min="1786" max="1788" width="0" style="9" hidden="1" customWidth="1"/>
    <col min="1789" max="1793" width="14.5703125" style="9" customWidth="1"/>
    <col min="1794" max="2034" width="9.140625" style="9"/>
    <col min="2035" max="2035" width="13.42578125" style="9" customWidth="1"/>
    <col min="2036" max="2036" width="22.140625" style="9" bestFit="1" customWidth="1"/>
    <col min="2037" max="2037" width="41.42578125" style="9" customWidth="1"/>
    <col min="2038" max="2038" width="5.85546875" style="9" customWidth="1"/>
    <col min="2039" max="2039" width="7.28515625" style="9" customWidth="1"/>
    <col min="2040" max="2041" width="13.5703125" style="9" customWidth="1"/>
    <col min="2042" max="2044" width="0" style="9" hidden="1" customWidth="1"/>
    <col min="2045" max="2049" width="14.5703125" style="9" customWidth="1"/>
    <col min="2050" max="2290" width="9.140625" style="9"/>
    <col min="2291" max="2291" width="13.42578125" style="9" customWidth="1"/>
    <col min="2292" max="2292" width="22.140625" style="9" bestFit="1" customWidth="1"/>
    <col min="2293" max="2293" width="41.42578125" style="9" customWidth="1"/>
    <col min="2294" max="2294" width="5.85546875" style="9" customWidth="1"/>
    <col min="2295" max="2295" width="7.28515625" style="9" customWidth="1"/>
    <col min="2296" max="2297" width="13.5703125" style="9" customWidth="1"/>
    <col min="2298" max="2300" width="0" style="9" hidden="1" customWidth="1"/>
    <col min="2301" max="2305" width="14.5703125" style="9" customWidth="1"/>
    <col min="2306" max="2546" width="9.140625" style="9"/>
    <col min="2547" max="2547" width="13.42578125" style="9" customWidth="1"/>
    <col min="2548" max="2548" width="22.140625" style="9" bestFit="1" customWidth="1"/>
    <col min="2549" max="2549" width="41.42578125" style="9" customWidth="1"/>
    <col min="2550" max="2550" width="5.85546875" style="9" customWidth="1"/>
    <col min="2551" max="2551" width="7.28515625" style="9" customWidth="1"/>
    <col min="2552" max="2553" width="13.5703125" style="9" customWidth="1"/>
    <col min="2554" max="2556" width="0" style="9" hidden="1" customWidth="1"/>
    <col min="2557" max="2561" width="14.5703125" style="9" customWidth="1"/>
    <col min="2562" max="2802" width="9.140625" style="9"/>
    <col min="2803" max="2803" width="13.42578125" style="9" customWidth="1"/>
    <col min="2804" max="2804" width="22.140625" style="9" bestFit="1" customWidth="1"/>
    <col min="2805" max="2805" width="41.42578125" style="9" customWidth="1"/>
    <col min="2806" max="2806" width="5.85546875" style="9" customWidth="1"/>
    <col min="2807" max="2807" width="7.28515625" style="9" customWidth="1"/>
    <col min="2808" max="2809" width="13.5703125" style="9" customWidth="1"/>
    <col min="2810" max="2812" width="0" style="9" hidden="1" customWidth="1"/>
    <col min="2813" max="2817" width="14.5703125" style="9" customWidth="1"/>
    <col min="2818" max="3058" width="9.140625" style="9"/>
    <col min="3059" max="3059" width="13.42578125" style="9" customWidth="1"/>
    <col min="3060" max="3060" width="22.140625" style="9" bestFit="1" customWidth="1"/>
    <col min="3061" max="3061" width="41.42578125" style="9" customWidth="1"/>
    <col min="3062" max="3062" width="5.85546875" style="9" customWidth="1"/>
    <col min="3063" max="3063" width="7.28515625" style="9" customWidth="1"/>
    <col min="3064" max="3065" width="13.5703125" style="9" customWidth="1"/>
    <col min="3066" max="3068" width="0" style="9" hidden="1" customWidth="1"/>
    <col min="3069" max="3073" width="14.5703125" style="9" customWidth="1"/>
    <col min="3074" max="3314" width="9.140625" style="9"/>
    <col min="3315" max="3315" width="13.42578125" style="9" customWidth="1"/>
    <col min="3316" max="3316" width="22.140625" style="9" bestFit="1" customWidth="1"/>
    <col min="3317" max="3317" width="41.42578125" style="9" customWidth="1"/>
    <col min="3318" max="3318" width="5.85546875" style="9" customWidth="1"/>
    <col min="3319" max="3319" width="7.28515625" style="9" customWidth="1"/>
    <col min="3320" max="3321" width="13.5703125" style="9" customWidth="1"/>
    <col min="3322" max="3324" width="0" style="9" hidden="1" customWidth="1"/>
    <col min="3325" max="3329" width="14.5703125" style="9" customWidth="1"/>
    <col min="3330" max="3570" width="9.140625" style="9"/>
    <col min="3571" max="3571" width="13.42578125" style="9" customWidth="1"/>
    <col min="3572" max="3572" width="22.140625" style="9" bestFit="1" customWidth="1"/>
    <col min="3573" max="3573" width="41.42578125" style="9" customWidth="1"/>
    <col min="3574" max="3574" width="5.85546875" style="9" customWidth="1"/>
    <col min="3575" max="3575" width="7.28515625" style="9" customWidth="1"/>
    <col min="3576" max="3577" width="13.5703125" style="9" customWidth="1"/>
    <col min="3578" max="3580" width="0" style="9" hidden="1" customWidth="1"/>
    <col min="3581" max="3585" width="14.5703125" style="9" customWidth="1"/>
    <col min="3586" max="3826" width="9.140625" style="9"/>
    <col min="3827" max="3827" width="13.42578125" style="9" customWidth="1"/>
    <col min="3828" max="3828" width="22.140625" style="9" bestFit="1" customWidth="1"/>
    <col min="3829" max="3829" width="41.42578125" style="9" customWidth="1"/>
    <col min="3830" max="3830" width="5.85546875" style="9" customWidth="1"/>
    <col min="3831" max="3831" width="7.28515625" style="9" customWidth="1"/>
    <col min="3832" max="3833" width="13.5703125" style="9" customWidth="1"/>
    <col min="3834" max="3836" width="0" style="9" hidden="1" customWidth="1"/>
    <col min="3837" max="3841" width="14.5703125" style="9" customWidth="1"/>
    <col min="3842" max="4082" width="9.140625" style="9"/>
    <col min="4083" max="4083" width="13.42578125" style="9" customWidth="1"/>
    <col min="4084" max="4084" width="22.140625" style="9" bestFit="1" customWidth="1"/>
    <col min="4085" max="4085" width="41.42578125" style="9" customWidth="1"/>
    <col min="4086" max="4086" width="5.85546875" style="9" customWidth="1"/>
    <col min="4087" max="4087" width="7.28515625" style="9" customWidth="1"/>
    <col min="4088" max="4089" width="13.5703125" style="9" customWidth="1"/>
    <col min="4090" max="4092" width="0" style="9" hidden="1" customWidth="1"/>
    <col min="4093" max="4097" width="14.5703125" style="9" customWidth="1"/>
    <col min="4098" max="4338" width="9.140625" style="9"/>
    <col min="4339" max="4339" width="13.42578125" style="9" customWidth="1"/>
    <col min="4340" max="4340" width="22.140625" style="9" bestFit="1" customWidth="1"/>
    <col min="4341" max="4341" width="41.42578125" style="9" customWidth="1"/>
    <col min="4342" max="4342" width="5.85546875" style="9" customWidth="1"/>
    <col min="4343" max="4343" width="7.28515625" style="9" customWidth="1"/>
    <col min="4344" max="4345" width="13.5703125" style="9" customWidth="1"/>
    <col min="4346" max="4348" width="0" style="9" hidden="1" customWidth="1"/>
    <col min="4349" max="4353" width="14.5703125" style="9" customWidth="1"/>
    <col min="4354" max="4594" width="9.140625" style="9"/>
    <col min="4595" max="4595" width="13.42578125" style="9" customWidth="1"/>
    <col min="4596" max="4596" width="22.140625" style="9" bestFit="1" customWidth="1"/>
    <col min="4597" max="4597" width="41.42578125" style="9" customWidth="1"/>
    <col min="4598" max="4598" width="5.85546875" style="9" customWidth="1"/>
    <col min="4599" max="4599" width="7.28515625" style="9" customWidth="1"/>
    <col min="4600" max="4601" width="13.5703125" style="9" customWidth="1"/>
    <col min="4602" max="4604" width="0" style="9" hidden="1" customWidth="1"/>
    <col min="4605" max="4609" width="14.5703125" style="9" customWidth="1"/>
    <col min="4610" max="4850" width="9.140625" style="9"/>
    <col min="4851" max="4851" width="13.42578125" style="9" customWidth="1"/>
    <col min="4852" max="4852" width="22.140625" style="9" bestFit="1" customWidth="1"/>
    <col min="4853" max="4853" width="41.42578125" style="9" customWidth="1"/>
    <col min="4854" max="4854" width="5.85546875" style="9" customWidth="1"/>
    <col min="4855" max="4855" width="7.28515625" style="9" customWidth="1"/>
    <col min="4856" max="4857" width="13.5703125" style="9" customWidth="1"/>
    <col min="4858" max="4860" width="0" style="9" hidden="1" customWidth="1"/>
    <col min="4861" max="4865" width="14.5703125" style="9" customWidth="1"/>
    <col min="4866" max="5106" width="9.140625" style="9"/>
    <col min="5107" max="5107" width="13.42578125" style="9" customWidth="1"/>
    <col min="5108" max="5108" width="22.140625" style="9" bestFit="1" customWidth="1"/>
    <col min="5109" max="5109" width="41.42578125" style="9" customWidth="1"/>
    <col min="5110" max="5110" width="5.85546875" style="9" customWidth="1"/>
    <col min="5111" max="5111" width="7.28515625" style="9" customWidth="1"/>
    <col min="5112" max="5113" width="13.5703125" style="9" customWidth="1"/>
    <col min="5114" max="5116" width="0" style="9" hidden="1" customWidth="1"/>
    <col min="5117" max="5121" width="14.5703125" style="9" customWidth="1"/>
    <col min="5122" max="5362" width="9.140625" style="9"/>
    <col min="5363" max="5363" width="13.42578125" style="9" customWidth="1"/>
    <col min="5364" max="5364" width="22.140625" style="9" bestFit="1" customWidth="1"/>
    <col min="5365" max="5365" width="41.42578125" style="9" customWidth="1"/>
    <col min="5366" max="5366" width="5.85546875" style="9" customWidth="1"/>
    <col min="5367" max="5367" width="7.28515625" style="9" customWidth="1"/>
    <col min="5368" max="5369" width="13.5703125" style="9" customWidth="1"/>
    <col min="5370" max="5372" width="0" style="9" hidden="1" customWidth="1"/>
    <col min="5373" max="5377" width="14.5703125" style="9" customWidth="1"/>
    <col min="5378" max="5618" width="9.140625" style="9"/>
    <col min="5619" max="5619" width="13.42578125" style="9" customWidth="1"/>
    <col min="5620" max="5620" width="22.140625" style="9" bestFit="1" customWidth="1"/>
    <col min="5621" max="5621" width="41.42578125" style="9" customWidth="1"/>
    <col min="5622" max="5622" width="5.85546875" style="9" customWidth="1"/>
    <col min="5623" max="5623" width="7.28515625" style="9" customWidth="1"/>
    <col min="5624" max="5625" width="13.5703125" style="9" customWidth="1"/>
    <col min="5626" max="5628" width="0" style="9" hidden="1" customWidth="1"/>
    <col min="5629" max="5633" width="14.5703125" style="9" customWidth="1"/>
    <col min="5634" max="5874" width="9.140625" style="9"/>
    <col min="5875" max="5875" width="13.42578125" style="9" customWidth="1"/>
    <col min="5876" max="5876" width="22.140625" style="9" bestFit="1" customWidth="1"/>
    <col min="5877" max="5877" width="41.42578125" style="9" customWidth="1"/>
    <col min="5878" max="5878" width="5.85546875" style="9" customWidth="1"/>
    <col min="5879" max="5879" width="7.28515625" style="9" customWidth="1"/>
    <col min="5880" max="5881" width="13.5703125" style="9" customWidth="1"/>
    <col min="5882" max="5884" width="0" style="9" hidden="1" customWidth="1"/>
    <col min="5885" max="5889" width="14.5703125" style="9" customWidth="1"/>
    <col min="5890" max="6130" width="9.140625" style="9"/>
    <col min="6131" max="6131" width="13.42578125" style="9" customWidth="1"/>
    <col min="6132" max="6132" width="22.140625" style="9" bestFit="1" customWidth="1"/>
    <col min="6133" max="6133" width="41.42578125" style="9" customWidth="1"/>
    <col min="6134" max="6134" width="5.85546875" style="9" customWidth="1"/>
    <col min="6135" max="6135" width="7.28515625" style="9" customWidth="1"/>
    <col min="6136" max="6137" width="13.5703125" style="9" customWidth="1"/>
    <col min="6138" max="6140" width="0" style="9" hidden="1" customWidth="1"/>
    <col min="6141" max="6145" width="14.5703125" style="9" customWidth="1"/>
    <col min="6146" max="6386" width="9.140625" style="9"/>
    <col min="6387" max="6387" width="13.42578125" style="9" customWidth="1"/>
    <col min="6388" max="6388" width="22.140625" style="9" bestFit="1" customWidth="1"/>
    <col min="6389" max="6389" width="41.42578125" style="9" customWidth="1"/>
    <col min="6390" max="6390" width="5.85546875" style="9" customWidth="1"/>
    <col min="6391" max="6391" width="7.28515625" style="9" customWidth="1"/>
    <col min="6392" max="6393" width="13.5703125" style="9" customWidth="1"/>
    <col min="6394" max="6396" width="0" style="9" hidden="1" customWidth="1"/>
    <col min="6397" max="6401" width="14.5703125" style="9" customWidth="1"/>
    <col min="6402" max="6642" width="9.140625" style="9"/>
    <col min="6643" max="6643" width="13.42578125" style="9" customWidth="1"/>
    <col min="6644" max="6644" width="22.140625" style="9" bestFit="1" customWidth="1"/>
    <col min="6645" max="6645" width="41.42578125" style="9" customWidth="1"/>
    <col min="6646" max="6646" width="5.85546875" style="9" customWidth="1"/>
    <col min="6647" max="6647" width="7.28515625" style="9" customWidth="1"/>
    <col min="6648" max="6649" width="13.5703125" style="9" customWidth="1"/>
    <col min="6650" max="6652" width="0" style="9" hidden="1" customWidth="1"/>
    <col min="6653" max="6657" width="14.5703125" style="9" customWidth="1"/>
    <col min="6658" max="6898" width="9.140625" style="9"/>
    <col min="6899" max="6899" width="13.42578125" style="9" customWidth="1"/>
    <col min="6900" max="6900" width="22.140625" style="9" bestFit="1" customWidth="1"/>
    <col min="6901" max="6901" width="41.42578125" style="9" customWidth="1"/>
    <col min="6902" max="6902" width="5.85546875" style="9" customWidth="1"/>
    <col min="6903" max="6903" width="7.28515625" style="9" customWidth="1"/>
    <col min="6904" max="6905" width="13.5703125" style="9" customWidth="1"/>
    <col min="6906" max="6908" width="0" style="9" hidden="1" customWidth="1"/>
    <col min="6909" max="6913" width="14.5703125" style="9" customWidth="1"/>
    <col min="6914" max="7154" width="9.140625" style="9"/>
    <col min="7155" max="7155" width="13.42578125" style="9" customWidth="1"/>
    <col min="7156" max="7156" width="22.140625" style="9" bestFit="1" customWidth="1"/>
    <col min="7157" max="7157" width="41.42578125" style="9" customWidth="1"/>
    <col min="7158" max="7158" width="5.85546875" style="9" customWidth="1"/>
    <col min="7159" max="7159" width="7.28515625" style="9" customWidth="1"/>
    <col min="7160" max="7161" width="13.5703125" style="9" customWidth="1"/>
    <col min="7162" max="7164" width="0" style="9" hidden="1" customWidth="1"/>
    <col min="7165" max="7169" width="14.5703125" style="9" customWidth="1"/>
    <col min="7170" max="7410" width="9.140625" style="9"/>
    <col min="7411" max="7411" width="13.42578125" style="9" customWidth="1"/>
    <col min="7412" max="7412" width="22.140625" style="9" bestFit="1" customWidth="1"/>
    <col min="7413" max="7413" width="41.42578125" style="9" customWidth="1"/>
    <col min="7414" max="7414" width="5.85546875" style="9" customWidth="1"/>
    <col min="7415" max="7415" width="7.28515625" style="9" customWidth="1"/>
    <col min="7416" max="7417" width="13.5703125" style="9" customWidth="1"/>
    <col min="7418" max="7420" width="0" style="9" hidden="1" customWidth="1"/>
    <col min="7421" max="7425" width="14.5703125" style="9" customWidth="1"/>
    <col min="7426" max="7666" width="9.140625" style="9"/>
    <col min="7667" max="7667" width="13.42578125" style="9" customWidth="1"/>
    <col min="7668" max="7668" width="22.140625" style="9" bestFit="1" customWidth="1"/>
    <col min="7669" max="7669" width="41.42578125" style="9" customWidth="1"/>
    <col min="7670" max="7670" width="5.85546875" style="9" customWidth="1"/>
    <col min="7671" max="7671" width="7.28515625" style="9" customWidth="1"/>
    <col min="7672" max="7673" width="13.5703125" style="9" customWidth="1"/>
    <col min="7674" max="7676" width="0" style="9" hidden="1" customWidth="1"/>
    <col min="7677" max="7681" width="14.5703125" style="9" customWidth="1"/>
    <col min="7682" max="7922" width="9.140625" style="9"/>
    <col min="7923" max="7923" width="13.42578125" style="9" customWidth="1"/>
    <col min="7924" max="7924" width="22.140625" style="9" bestFit="1" customWidth="1"/>
    <col min="7925" max="7925" width="41.42578125" style="9" customWidth="1"/>
    <col min="7926" max="7926" width="5.85546875" style="9" customWidth="1"/>
    <col min="7927" max="7927" width="7.28515625" style="9" customWidth="1"/>
    <col min="7928" max="7929" width="13.5703125" style="9" customWidth="1"/>
    <col min="7930" max="7932" width="0" style="9" hidden="1" customWidth="1"/>
    <col min="7933" max="7937" width="14.5703125" style="9" customWidth="1"/>
    <col min="7938" max="8178" width="9.140625" style="9"/>
    <col min="8179" max="8179" width="13.42578125" style="9" customWidth="1"/>
    <col min="8180" max="8180" width="22.140625" style="9" bestFit="1" customWidth="1"/>
    <col min="8181" max="8181" width="41.42578125" style="9" customWidth="1"/>
    <col min="8182" max="8182" width="5.85546875" style="9" customWidth="1"/>
    <col min="8183" max="8183" width="7.28515625" style="9" customWidth="1"/>
    <col min="8184" max="8185" width="13.5703125" style="9" customWidth="1"/>
    <col min="8186" max="8188" width="0" style="9" hidden="1" customWidth="1"/>
    <col min="8189" max="8193" width="14.5703125" style="9" customWidth="1"/>
    <col min="8194" max="8434" width="9.140625" style="9"/>
    <col min="8435" max="8435" width="13.42578125" style="9" customWidth="1"/>
    <col min="8436" max="8436" width="22.140625" style="9" bestFit="1" customWidth="1"/>
    <col min="8437" max="8437" width="41.42578125" style="9" customWidth="1"/>
    <col min="8438" max="8438" width="5.85546875" style="9" customWidth="1"/>
    <col min="8439" max="8439" width="7.28515625" style="9" customWidth="1"/>
    <col min="8440" max="8441" width="13.5703125" style="9" customWidth="1"/>
    <col min="8442" max="8444" width="0" style="9" hidden="1" customWidth="1"/>
    <col min="8445" max="8449" width="14.5703125" style="9" customWidth="1"/>
    <col min="8450" max="8690" width="9.140625" style="9"/>
    <col min="8691" max="8691" width="13.42578125" style="9" customWidth="1"/>
    <col min="8692" max="8692" width="22.140625" style="9" bestFit="1" customWidth="1"/>
    <col min="8693" max="8693" width="41.42578125" style="9" customWidth="1"/>
    <col min="8694" max="8694" width="5.85546875" style="9" customWidth="1"/>
    <col min="8695" max="8695" width="7.28515625" style="9" customWidth="1"/>
    <col min="8696" max="8697" width="13.5703125" style="9" customWidth="1"/>
    <col min="8698" max="8700" width="0" style="9" hidden="1" customWidth="1"/>
    <col min="8701" max="8705" width="14.5703125" style="9" customWidth="1"/>
    <col min="8706" max="8946" width="9.140625" style="9"/>
    <col min="8947" max="8947" width="13.42578125" style="9" customWidth="1"/>
    <col min="8948" max="8948" width="22.140625" style="9" bestFit="1" customWidth="1"/>
    <col min="8949" max="8949" width="41.42578125" style="9" customWidth="1"/>
    <col min="8950" max="8950" width="5.85546875" style="9" customWidth="1"/>
    <col min="8951" max="8951" width="7.28515625" style="9" customWidth="1"/>
    <col min="8952" max="8953" width="13.5703125" style="9" customWidth="1"/>
    <col min="8954" max="8956" width="0" style="9" hidden="1" customWidth="1"/>
    <col min="8957" max="8961" width="14.5703125" style="9" customWidth="1"/>
    <col min="8962" max="9202" width="9.140625" style="9"/>
    <col min="9203" max="9203" width="13.42578125" style="9" customWidth="1"/>
    <col min="9204" max="9204" width="22.140625" style="9" bestFit="1" customWidth="1"/>
    <col min="9205" max="9205" width="41.42578125" style="9" customWidth="1"/>
    <col min="9206" max="9206" width="5.85546875" style="9" customWidth="1"/>
    <col min="9207" max="9207" width="7.28515625" style="9" customWidth="1"/>
    <col min="9208" max="9209" width="13.5703125" style="9" customWidth="1"/>
    <col min="9210" max="9212" width="0" style="9" hidden="1" customWidth="1"/>
    <col min="9213" max="9217" width="14.5703125" style="9" customWidth="1"/>
    <col min="9218" max="9458" width="9.140625" style="9"/>
    <col min="9459" max="9459" width="13.42578125" style="9" customWidth="1"/>
    <col min="9460" max="9460" width="22.140625" style="9" bestFit="1" customWidth="1"/>
    <col min="9461" max="9461" width="41.42578125" style="9" customWidth="1"/>
    <col min="9462" max="9462" width="5.85546875" style="9" customWidth="1"/>
    <col min="9463" max="9463" width="7.28515625" style="9" customWidth="1"/>
    <col min="9464" max="9465" width="13.5703125" style="9" customWidth="1"/>
    <col min="9466" max="9468" width="0" style="9" hidden="1" customWidth="1"/>
    <col min="9469" max="9473" width="14.5703125" style="9" customWidth="1"/>
    <col min="9474" max="9714" width="9.140625" style="9"/>
    <col min="9715" max="9715" width="13.42578125" style="9" customWidth="1"/>
    <col min="9716" max="9716" width="22.140625" style="9" bestFit="1" customWidth="1"/>
    <col min="9717" max="9717" width="41.42578125" style="9" customWidth="1"/>
    <col min="9718" max="9718" width="5.85546875" style="9" customWidth="1"/>
    <col min="9719" max="9719" width="7.28515625" style="9" customWidth="1"/>
    <col min="9720" max="9721" width="13.5703125" style="9" customWidth="1"/>
    <col min="9722" max="9724" width="0" style="9" hidden="1" customWidth="1"/>
    <col min="9725" max="9729" width="14.5703125" style="9" customWidth="1"/>
    <col min="9730" max="9970" width="9.140625" style="9"/>
    <col min="9971" max="9971" width="13.42578125" style="9" customWidth="1"/>
    <col min="9972" max="9972" width="22.140625" style="9" bestFit="1" customWidth="1"/>
    <col min="9973" max="9973" width="41.42578125" style="9" customWidth="1"/>
    <col min="9974" max="9974" width="5.85546875" style="9" customWidth="1"/>
    <col min="9975" max="9975" width="7.28515625" style="9" customWidth="1"/>
    <col min="9976" max="9977" width="13.5703125" style="9" customWidth="1"/>
    <col min="9978" max="9980" width="0" style="9" hidden="1" customWidth="1"/>
    <col min="9981" max="9985" width="14.5703125" style="9" customWidth="1"/>
    <col min="9986" max="10226" width="9.140625" style="9"/>
    <col min="10227" max="10227" width="13.42578125" style="9" customWidth="1"/>
    <col min="10228" max="10228" width="22.140625" style="9" bestFit="1" customWidth="1"/>
    <col min="10229" max="10229" width="41.42578125" style="9" customWidth="1"/>
    <col min="10230" max="10230" width="5.85546875" style="9" customWidth="1"/>
    <col min="10231" max="10231" width="7.28515625" style="9" customWidth="1"/>
    <col min="10232" max="10233" width="13.5703125" style="9" customWidth="1"/>
    <col min="10234" max="10236" width="0" style="9" hidden="1" customWidth="1"/>
    <col min="10237" max="10241" width="14.5703125" style="9" customWidth="1"/>
    <col min="10242" max="10482" width="9.140625" style="9"/>
    <col min="10483" max="10483" width="13.42578125" style="9" customWidth="1"/>
    <col min="10484" max="10484" width="22.140625" style="9" bestFit="1" customWidth="1"/>
    <col min="10485" max="10485" width="41.42578125" style="9" customWidth="1"/>
    <col min="10486" max="10486" width="5.85546875" style="9" customWidth="1"/>
    <col min="10487" max="10487" width="7.28515625" style="9" customWidth="1"/>
    <col min="10488" max="10489" width="13.5703125" style="9" customWidth="1"/>
    <col min="10490" max="10492" width="0" style="9" hidden="1" customWidth="1"/>
    <col min="10493" max="10497" width="14.5703125" style="9" customWidth="1"/>
    <col min="10498" max="10738" width="9.140625" style="9"/>
    <col min="10739" max="10739" width="13.42578125" style="9" customWidth="1"/>
    <col min="10740" max="10740" width="22.140625" style="9" bestFit="1" customWidth="1"/>
    <col min="10741" max="10741" width="41.42578125" style="9" customWidth="1"/>
    <col min="10742" max="10742" width="5.85546875" style="9" customWidth="1"/>
    <col min="10743" max="10743" width="7.28515625" style="9" customWidth="1"/>
    <col min="10744" max="10745" width="13.5703125" style="9" customWidth="1"/>
    <col min="10746" max="10748" width="0" style="9" hidden="1" customWidth="1"/>
    <col min="10749" max="10753" width="14.5703125" style="9" customWidth="1"/>
    <col min="10754" max="10994" width="9.140625" style="9"/>
    <col min="10995" max="10995" width="13.42578125" style="9" customWidth="1"/>
    <col min="10996" max="10996" width="22.140625" style="9" bestFit="1" customWidth="1"/>
    <col min="10997" max="10997" width="41.42578125" style="9" customWidth="1"/>
    <col min="10998" max="10998" width="5.85546875" style="9" customWidth="1"/>
    <col min="10999" max="10999" width="7.28515625" style="9" customWidth="1"/>
    <col min="11000" max="11001" width="13.5703125" style="9" customWidth="1"/>
    <col min="11002" max="11004" width="0" style="9" hidden="1" customWidth="1"/>
    <col min="11005" max="11009" width="14.5703125" style="9" customWidth="1"/>
    <col min="11010" max="11250" width="9.140625" style="9"/>
    <col min="11251" max="11251" width="13.42578125" style="9" customWidth="1"/>
    <col min="11252" max="11252" width="22.140625" style="9" bestFit="1" customWidth="1"/>
    <col min="11253" max="11253" width="41.42578125" style="9" customWidth="1"/>
    <col min="11254" max="11254" width="5.85546875" style="9" customWidth="1"/>
    <col min="11255" max="11255" width="7.28515625" style="9" customWidth="1"/>
    <col min="11256" max="11257" width="13.5703125" style="9" customWidth="1"/>
    <col min="11258" max="11260" width="0" style="9" hidden="1" customWidth="1"/>
    <col min="11261" max="11265" width="14.5703125" style="9" customWidth="1"/>
    <col min="11266" max="11506" width="9.140625" style="9"/>
    <col min="11507" max="11507" width="13.42578125" style="9" customWidth="1"/>
    <col min="11508" max="11508" width="22.140625" style="9" bestFit="1" customWidth="1"/>
    <col min="11509" max="11509" width="41.42578125" style="9" customWidth="1"/>
    <col min="11510" max="11510" width="5.85546875" style="9" customWidth="1"/>
    <col min="11511" max="11511" width="7.28515625" style="9" customWidth="1"/>
    <col min="11512" max="11513" width="13.5703125" style="9" customWidth="1"/>
    <col min="11514" max="11516" width="0" style="9" hidden="1" customWidth="1"/>
    <col min="11517" max="11521" width="14.5703125" style="9" customWidth="1"/>
    <col min="11522" max="11762" width="9.140625" style="9"/>
    <col min="11763" max="11763" width="13.42578125" style="9" customWidth="1"/>
    <col min="11764" max="11764" width="22.140625" style="9" bestFit="1" customWidth="1"/>
    <col min="11765" max="11765" width="41.42578125" style="9" customWidth="1"/>
    <col min="11766" max="11766" width="5.85546875" style="9" customWidth="1"/>
    <col min="11767" max="11767" width="7.28515625" style="9" customWidth="1"/>
    <col min="11768" max="11769" width="13.5703125" style="9" customWidth="1"/>
    <col min="11770" max="11772" width="0" style="9" hidden="1" customWidth="1"/>
    <col min="11773" max="11777" width="14.5703125" style="9" customWidth="1"/>
    <col min="11778" max="12018" width="9.140625" style="9"/>
    <col min="12019" max="12019" width="13.42578125" style="9" customWidth="1"/>
    <col min="12020" max="12020" width="22.140625" style="9" bestFit="1" customWidth="1"/>
    <col min="12021" max="12021" width="41.42578125" style="9" customWidth="1"/>
    <col min="12022" max="12022" width="5.85546875" style="9" customWidth="1"/>
    <col min="12023" max="12023" width="7.28515625" style="9" customWidth="1"/>
    <col min="12024" max="12025" width="13.5703125" style="9" customWidth="1"/>
    <col min="12026" max="12028" width="0" style="9" hidden="1" customWidth="1"/>
    <col min="12029" max="12033" width="14.5703125" style="9" customWidth="1"/>
    <col min="12034" max="12274" width="9.140625" style="9"/>
    <col min="12275" max="12275" width="13.42578125" style="9" customWidth="1"/>
    <col min="12276" max="12276" width="22.140625" style="9" bestFit="1" customWidth="1"/>
    <col min="12277" max="12277" width="41.42578125" style="9" customWidth="1"/>
    <col min="12278" max="12278" width="5.85546875" style="9" customWidth="1"/>
    <col min="12279" max="12279" width="7.28515625" style="9" customWidth="1"/>
    <col min="12280" max="12281" width="13.5703125" style="9" customWidth="1"/>
    <col min="12282" max="12284" width="0" style="9" hidden="1" customWidth="1"/>
    <col min="12285" max="12289" width="14.5703125" style="9" customWidth="1"/>
    <col min="12290" max="12530" width="9.140625" style="9"/>
    <col min="12531" max="12531" width="13.42578125" style="9" customWidth="1"/>
    <col min="12532" max="12532" width="22.140625" style="9" bestFit="1" customWidth="1"/>
    <col min="12533" max="12533" width="41.42578125" style="9" customWidth="1"/>
    <col min="12534" max="12534" width="5.85546875" style="9" customWidth="1"/>
    <col min="12535" max="12535" width="7.28515625" style="9" customWidth="1"/>
    <col min="12536" max="12537" width="13.5703125" style="9" customWidth="1"/>
    <col min="12538" max="12540" width="0" style="9" hidden="1" customWidth="1"/>
    <col min="12541" max="12545" width="14.5703125" style="9" customWidth="1"/>
    <col min="12546" max="12786" width="9.140625" style="9"/>
    <col min="12787" max="12787" width="13.42578125" style="9" customWidth="1"/>
    <col min="12788" max="12788" width="22.140625" style="9" bestFit="1" customWidth="1"/>
    <col min="12789" max="12789" width="41.42578125" style="9" customWidth="1"/>
    <col min="12790" max="12790" width="5.85546875" style="9" customWidth="1"/>
    <col min="12791" max="12791" width="7.28515625" style="9" customWidth="1"/>
    <col min="12792" max="12793" width="13.5703125" style="9" customWidth="1"/>
    <col min="12794" max="12796" width="0" style="9" hidden="1" customWidth="1"/>
    <col min="12797" max="12801" width="14.5703125" style="9" customWidth="1"/>
    <col min="12802" max="13042" width="9.140625" style="9"/>
    <col min="13043" max="13043" width="13.42578125" style="9" customWidth="1"/>
    <col min="13044" max="13044" width="22.140625" style="9" bestFit="1" customWidth="1"/>
    <col min="13045" max="13045" width="41.42578125" style="9" customWidth="1"/>
    <col min="13046" max="13046" width="5.85546875" style="9" customWidth="1"/>
    <col min="13047" max="13047" width="7.28515625" style="9" customWidth="1"/>
    <col min="13048" max="13049" width="13.5703125" style="9" customWidth="1"/>
    <col min="13050" max="13052" width="0" style="9" hidden="1" customWidth="1"/>
    <col min="13053" max="13057" width="14.5703125" style="9" customWidth="1"/>
    <col min="13058" max="13298" width="9.140625" style="9"/>
    <col min="13299" max="13299" width="13.42578125" style="9" customWidth="1"/>
    <col min="13300" max="13300" width="22.140625" style="9" bestFit="1" customWidth="1"/>
    <col min="13301" max="13301" width="41.42578125" style="9" customWidth="1"/>
    <col min="13302" max="13302" width="5.85546875" style="9" customWidth="1"/>
    <col min="13303" max="13303" width="7.28515625" style="9" customWidth="1"/>
    <col min="13304" max="13305" width="13.5703125" style="9" customWidth="1"/>
    <col min="13306" max="13308" width="0" style="9" hidden="1" customWidth="1"/>
    <col min="13309" max="13313" width="14.5703125" style="9" customWidth="1"/>
    <col min="13314" max="13554" width="9.140625" style="9"/>
    <col min="13555" max="13555" width="13.42578125" style="9" customWidth="1"/>
    <col min="13556" max="13556" width="22.140625" style="9" bestFit="1" customWidth="1"/>
    <col min="13557" max="13557" width="41.42578125" style="9" customWidth="1"/>
    <col min="13558" max="13558" width="5.85546875" style="9" customWidth="1"/>
    <col min="13559" max="13559" width="7.28515625" style="9" customWidth="1"/>
    <col min="13560" max="13561" width="13.5703125" style="9" customWidth="1"/>
    <col min="13562" max="13564" width="0" style="9" hidden="1" customWidth="1"/>
    <col min="13565" max="13569" width="14.5703125" style="9" customWidth="1"/>
    <col min="13570" max="13810" width="9.140625" style="9"/>
    <col min="13811" max="13811" width="13.42578125" style="9" customWidth="1"/>
    <col min="13812" max="13812" width="22.140625" style="9" bestFit="1" customWidth="1"/>
    <col min="13813" max="13813" width="41.42578125" style="9" customWidth="1"/>
    <col min="13814" max="13814" width="5.85546875" style="9" customWidth="1"/>
    <col min="13815" max="13815" width="7.28515625" style="9" customWidth="1"/>
    <col min="13816" max="13817" width="13.5703125" style="9" customWidth="1"/>
    <col min="13818" max="13820" width="0" style="9" hidden="1" customWidth="1"/>
    <col min="13821" max="13825" width="14.5703125" style="9" customWidth="1"/>
    <col min="13826" max="14066" width="9.140625" style="9"/>
    <col min="14067" max="14067" width="13.42578125" style="9" customWidth="1"/>
    <col min="14068" max="14068" width="22.140625" style="9" bestFit="1" customWidth="1"/>
    <col min="14069" max="14069" width="41.42578125" style="9" customWidth="1"/>
    <col min="14070" max="14070" width="5.85546875" style="9" customWidth="1"/>
    <col min="14071" max="14071" width="7.28515625" style="9" customWidth="1"/>
    <col min="14072" max="14073" width="13.5703125" style="9" customWidth="1"/>
    <col min="14074" max="14076" width="0" style="9" hidden="1" customWidth="1"/>
    <col min="14077" max="14081" width="14.5703125" style="9" customWidth="1"/>
    <col min="14082" max="14322" width="9.140625" style="9"/>
    <col min="14323" max="14323" width="13.42578125" style="9" customWidth="1"/>
    <col min="14324" max="14324" width="22.140625" style="9" bestFit="1" customWidth="1"/>
    <col min="14325" max="14325" width="41.42578125" style="9" customWidth="1"/>
    <col min="14326" max="14326" width="5.85546875" style="9" customWidth="1"/>
    <col min="14327" max="14327" width="7.28515625" style="9" customWidth="1"/>
    <col min="14328" max="14329" width="13.5703125" style="9" customWidth="1"/>
    <col min="14330" max="14332" width="0" style="9" hidden="1" customWidth="1"/>
    <col min="14333" max="14337" width="14.5703125" style="9" customWidth="1"/>
    <col min="14338" max="14578" width="9.140625" style="9"/>
    <col min="14579" max="14579" width="13.42578125" style="9" customWidth="1"/>
    <col min="14580" max="14580" width="22.140625" style="9" bestFit="1" customWidth="1"/>
    <col min="14581" max="14581" width="41.42578125" style="9" customWidth="1"/>
    <col min="14582" max="14582" width="5.85546875" style="9" customWidth="1"/>
    <col min="14583" max="14583" width="7.28515625" style="9" customWidth="1"/>
    <col min="14584" max="14585" width="13.5703125" style="9" customWidth="1"/>
    <col min="14586" max="14588" width="0" style="9" hidden="1" customWidth="1"/>
    <col min="14589" max="14593" width="14.5703125" style="9" customWidth="1"/>
    <col min="14594" max="14834" width="9.140625" style="9"/>
    <col min="14835" max="14835" width="13.42578125" style="9" customWidth="1"/>
    <col min="14836" max="14836" width="22.140625" style="9" bestFit="1" customWidth="1"/>
    <col min="14837" max="14837" width="41.42578125" style="9" customWidth="1"/>
    <col min="14838" max="14838" width="5.85546875" style="9" customWidth="1"/>
    <col min="14839" max="14839" width="7.28515625" style="9" customWidth="1"/>
    <col min="14840" max="14841" width="13.5703125" style="9" customWidth="1"/>
    <col min="14842" max="14844" width="0" style="9" hidden="1" customWidth="1"/>
    <col min="14845" max="14849" width="14.5703125" style="9" customWidth="1"/>
    <col min="14850" max="15090" width="9.140625" style="9"/>
    <col min="15091" max="15091" width="13.42578125" style="9" customWidth="1"/>
    <col min="15092" max="15092" width="22.140625" style="9" bestFit="1" customWidth="1"/>
    <col min="15093" max="15093" width="41.42578125" style="9" customWidth="1"/>
    <col min="15094" max="15094" width="5.85546875" style="9" customWidth="1"/>
    <col min="15095" max="15095" width="7.28515625" style="9" customWidth="1"/>
    <col min="15096" max="15097" width="13.5703125" style="9" customWidth="1"/>
    <col min="15098" max="15100" width="0" style="9" hidden="1" customWidth="1"/>
    <col min="15101" max="15105" width="14.5703125" style="9" customWidth="1"/>
    <col min="15106" max="15346" width="9.140625" style="9"/>
    <col min="15347" max="15347" width="13.42578125" style="9" customWidth="1"/>
    <col min="15348" max="15348" width="22.140625" style="9" bestFit="1" customWidth="1"/>
    <col min="15349" max="15349" width="41.42578125" style="9" customWidth="1"/>
    <col min="15350" max="15350" width="5.85546875" style="9" customWidth="1"/>
    <col min="15351" max="15351" width="7.28515625" style="9" customWidth="1"/>
    <col min="15352" max="15353" width="13.5703125" style="9" customWidth="1"/>
    <col min="15354" max="15356" width="0" style="9" hidden="1" customWidth="1"/>
    <col min="15357" max="15361" width="14.5703125" style="9" customWidth="1"/>
    <col min="15362" max="15602" width="9.140625" style="9"/>
    <col min="15603" max="15603" width="13.42578125" style="9" customWidth="1"/>
    <col min="15604" max="15604" width="22.140625" style="9" bestFit="1" customWidth="1"/>
    <col min="15605" max="15605" width="41.42578125" style="9" customWidth="1"/>
    <col min="15606" max="15606" width="5.85546875" style="9" customWidth="1"/>
    <col min="15607" max="15607" width="7.28515625" style="9" customWidth="1"/>
    <col min="15608" max="15609" width="13.5703125" style="9" customWidth="1"/>
    <col min="15610" max="15612" width="0" style="9" hidden="1" customWidth="1"/>
    <col min="15613" max="15617" width="14.5703125" style="9" customWidth="1"/>
    <col min="15618" max="15858" width="9.140625" style="9"/>
    <col min="15859" max="15859" width="13.42578125" style="9" customWidth="1"/>
    <col min="15860" max="15860" width="22.140625" style="9" bestFit="1" customWidth="1"/>
    <col min="15861" max="15861" width="41.42578125" style="9" customWidth="1"/>
    <col min="15862" max="15862" width="5.85546875" style="9" customWidth="1"/>
    <col min="15863" max="15863" width="7.28515625" style="9" customWidth="1"/>
    <col min="15864" max="15865" width="13.5703125" style="9" customWidth="1"/>
    <col min="15866" max="15868" width="0" style="9" hidden="1" customWidth="1"/>
    <col min="15869" max="15873" width="14.5703125" style="9" customWidth="1"/>
    <col min="15874" max="16114" width="9.140625" style="9"/>
    <col min="16115" max="16115" width="13.42578125" style="9" customWidth="1"/>
    <col min="16116" max="16116" width="22.140625" style="9" bestFit="1" customWidth="1"/>
    <col min="16117" max="16117" width="41.42578125" style="9" customWidth="1"/>
    <col min="16118" max="16118" width="5.85546875" style="9" customWidth="1"/>
    <col min="16119" max="16119" width="7.28515625" style="9" customWidth="1"/>
    <col min="16120" max="16121" width="13.5703125" style="9" customWidth="1"/>
    <col min="16122" max="16124" width="0" style="9" hidden="1" customWidth="1"/>
    <col min="16125" max="16129" width="14.5703125" style="9" customWidth="1"/>
    <col min="16130" max="16384" width="9.140625" style="9"/>
  </cols>
  <sheetData>
    <row r="1" spans="1:3" ht="31.5" customHeight="1">
      <c r="A1" s="169" t="s">
        <v>85</v>
      </c>
      <c r="B1" s="169"/>
      <c r="C1" s="169"/>
    </row>
    <row r="2" spans="1:3" ht="20.25" customHeight="1">
      <c r="A2" s="170" t="s">
        <v>86</v>
      </c>
      <c r="B2" s="170" t="s">
        <v>76</v>
      </c>
      <c r="C2" s="171" t="s">
        <v>87</v>
      </c>
    </row>
    <row r="3" spans="1:3" ht="20.25" customHeight="1">
      <c r="A3" s="170"/>
      <c r="B3" s="170"/>
      <c r="C3" s="172"/>
    </row>
    <row r="4" spans="1:3" ht="22.5" customHeight="1">
      <c r="A4" s="10" t="s">
        <v>88</v>
      </c>
      <c r="B4" s="11" t="s">
        <v>89</v>
      </c>
      <c r="C4" s="12">
        <v>0.52884615384615397</v>
      </c>
    </row>
    <row r="5" spans="1:3" ht="22.5" customHeight="1">
      <c r="A5" s="13" t="s">
        <v>90</v>
      </c>
      <c r="B5" s="14" t="s">
        <v>89</v>
      </c>
      <c r="C5" s="15">
        <v>0.21153846153846154</v>
      </c>
    </row>
    <row r="6" spans="1:3" ht="22.5" customHeight="1">
      <c r="A6" s="13" t="s">
        <v>91</v>
      </c>
      <c r="B6" s="14" t="s">
        <v>89</v>
      </c>
      <c r="C6" s="15">
        <v>5.2884615384615384E-2</v>
      </c>
    </row>
    <row r="7" spans="1:3" ht="22.5" customHeight="1">
      <c r="A7" s="13" t="s">
        <v>92</v>
      </c>
      <c r="B7" s="14" t="s">
        <v>89</v>
      </c>
      <c r="C7" s="15">
        <v>5.2884615384615384E-2</v>
      </c>
    </row>
    <row r="8" spans="1:3" ht="22.5" customHeight="1">
      <c r="A8" s="13" t="s">
        <v>93</v>
      </c>
      <c r="B8" s="14" t="s">
        <v>89</v>
      </c>
      <c r="C8" s="15">
        <v>5.2884615384615384E-2</v>
      </c>
    </row>
    <row r="9" spans="1:3" ht="22.5" customHeight="1">
      <c r="A9" s="13" t="s">
        <v>90</v>
      </c>
      <c r="B9" s="14" t="s">
        <v>89</v>
      </c>
      <c r="C9" s="15">
        <v>0.10576923076923077</v>
      </c>
    </row>
    <row r="10" spans="1:3" ht="22.5" customHeight="1">
      <c r="A10" s="13" t="s">
        <v>91</v>
      </c>
      <c r="B10" s="14" t="s">
        <v>89</v>
      </c>
      <c r="C10" s="15">
        <v>5.2884615384615384E-2</v>
      </c>
    </row>
    <row r="11" spans="1:3" ht="22.5" customHeight="1">
      <c r="A11" s="13" t="s">
        <v>94</v>
      </c>
      <c r="B11" s="14" t="s">
        <v>89</v>
      </c>
      <c r="C11" s="15">
        <v>5.2884615384615384E-2</v>
      </c>
    </row>
    <row r="12" spans="1:3" ht="22.5" customHeight="1">
      <c r="A12" s="13" t="s">
        <v>93</v>
      </c>
      <c r="B12" s="14" t="s">
        <v>89</v>
      </c>
      <c r="C12" s="15">
        <v>5.2884615384615384E-2</v>
      </c>
    </row>
    <row r="13" spans="1:3" ht="22.5" customHeight="1">
      <c r="A13" s="13" t="s">
        <v>95</v>
      </c>
      <c r="B13" s="14" t="s">
        <v>89</v>
      </c>
      <c r="C13" s="15">
        <v>5.2884615384615384E-2</v>
      </c>
    </row>
    <row r="14" spans="1:3" ht="22.5" customHeight="1">
      <c r="A14" s="13" t="s">
        <v>96</v>
      </c>
      <c r="B14" s="14" t="s">
        <v>89</v>
      </c>
      <c r="C14" s="15">
        <v>5.2884615384615384E-2</v>
      </c>
    </row>
    <row r="15" spans="1:3" ht="22.5" customHeight="1">
      <c r="A15" s="13" t="s">
        <v>92</v>
      </c>
      <c r="B15" s="14" t="s">
        <v>89</v>
      </c>
      <c r="C15" s="15">
        <v>5.2884615384615384E-2</v>
      </c>
    </row>
    <row r="16" spans="1:3" ht="22.5" customHeight="1">
      <c r="A16" s="16" t="s">
        <v>93</v>
      </c>
      <c r="B16" s="14" t="s">
        <v>89</v>
      </c>
      <c r="C16" s="17">
        <v>5.2884615384615384E-2</v>
      </c>
    </row>
    <row r="17" spans="1:3" ht="22.5" customHeight="1">
      <c r="A17" s="173" t="s">
        <v>97</v>
      </c>
      <c r="B17" s="173"/>
      <c r="C17" s="18">
        <f>AVERAGEA(C4:C16)</f>
        <v>0.10576923076923081</v>
      </c>
    </row>
    <row r="18" spans="1:3" ht="22.5" customHeight="1">
      <c r="A18" s="19" t="s">
        <v>98</v>
      </c>
      <c r="B18" s="20" t="s">
        <v>74</v>
      </c>
      <c r="C18" s="21">
        <v>2.6442307692307692E-2</v>
      </c>
    </row>
    <row r="19" spans="1:3" ht="22.5" customHeight="1">
      <c r="A19" s="13" t="s">
        <v>99</v>
      </c>
      <c r="B19" s="22" t="s">
        <v>100</v>
      </c>
      <c r="C19" s="15">
        <v>0.21153846153846154</v>
      </c>
    </row>
    <row r="20" spans="1:3" ht="22.5" customHeight="1">
      <c r="A20" s="13" t="s">
        <v>101</v>
      </c>
      <c r="B20" s="22" t="s">
        <v>75</v>
      </c>
      <c r="C20" s="15">
        <v>1.0576923076923078E-2</v>
      </c>
    </row>
    <row r="21" spans="1:3" ht="22.5" customHeight="1">
      <c r="A21" s="13" t="s">
        <v>102</v>
      </c>
      <c r="B21" s="22" t="s">
        <v>44</v>
      </c>
      <c r="C21" s="15">
        <v>0.26442307692307698</v>
      </c>
    </row>
    <row r="22" spans="1:3" ht="22.5" customHeight="1">
      <c r="A22" s="13" t="s">
        <v>103</v>
      </c>
      <c r="B22" s="22" t="s">
        <v>104</v>
      </c>
      <c r="C22" s="15">
        <v>0.10576923076923077</v>
      </c>
    </row>
    <row r="23" spans="1:3" ht="22.5" customHeight="1">
      <c r="A23" s="13" t="s">
        <v>105</v>
      </c>
      <c r="B23" s="22" t="s">
        <v>104</v>
      </c>
      <c r="C23" s="15">
        <v>5.2884615384615384E-2</v>
      </c>
    </row>
    <row r="24" spans="1:3" ht="22.5" customHeight="1">
      <c r="A24" s="13" t="s">
        <v>106</v>
      </c>
      <c r="B24" s="22" t="s">
        <v>75</v>
      </c>
      <c r="C24" s="15">
        <v>5.2884615384615384E-2</v>
      </c>
    </row>
    <row r="25" spans="1:3" ht="22.5" customHeight="1">
      <c r="A25" s="13" t="s">
        <v>107</v>
      </c>
      <c r="B25" s="22" t="s">
        <v>108</v>
      </c>
      <c r="C25" s="15">
        <v>2.6442307692307692E-2</v>
      </c>
    </row>
    <row r="26" spans="1:3" ht="22.5" customHeight="1">
      <c r="A26" s="13" t="s">
        <v>109</v>
      </c>
      <c r="B26" s="22" t="s">
        <v>44</v>
      </c>
      <c r="C26" s="15">
        <v>0.15865384615384615</v>
      </c>
    </row>
    <row r="27" spans="1:3" ht="22.5" customHeight="1">
      <c r="A27" s="23" t="s">
        <v>110</v>
      </c>
      <c r="B27" s="24" t="s">
        <v>44</v>
      </c>
      <c r="C27" s="25">
        <v>0.15865384615384615</v>
      </c>
    </row>
    <row r="28" spans="1:3" s="28" customFormat="1" ht="9" customHeight="1">
      <c r="A28" s="26"/>
      <c r="B28" s="6"/>
      <c r="C28" s="27"/>
    </row>
    <row r="29" spans="1:3">
      <c r="A29" s="29" t="s">
        <v>111</v>
      </c>
    </row>
  </sheetData>
  <mergeCells count="5">
    <mergeCell ref="A1:C1"/>
    <mergeCell ref="A2:A3"/>
    <mergeCell ref="B2:B3"/>
    <mergeCell ref="C2:C3"/>
    <mergeCell ref="A17:B17"/>
  </mergeCells>
  <printOptions horizontalCentered="1"/>
  <pageMargins left="0.3" right="0.3" top="0.4" bottom="0.4" header="0.3" footer="0.3"/>
  <pageSetup paperSize="9" orientation="portrait" verticalDpi="0" r:id="rId1"/>
  <headerFooter>
    <oddFooter>&amp;C&amp;"Times New Roman,Regular"ĐỊNH MỨC VẬT TƯ PHỤ XƯỞNG ĐỒ GÁ - BAN HÀNH LẦN 1&amp;R&amp;"Times New Roman,Regular"Trang &amp;P/1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topLeftCell="A16" zoomScale="91" zoomScaleNormal="91" zoomScaleSheetLayoutView="85" workbookViewId="0">
      <selection activeCell="D11" sqref="D11"/>
    </sheetView>
  </sheetViews>
  <sheetFormatPr defaultColWidth="9.140625" defaultRowHeight="16.5"/>
  <cols>
    <col min="1" max="1" width="7" style="29" customWidth="1"/>
    <col min="2" max="2" width="24.7109375" style="29" customWidth="1"/>
    <col min="3" max="3" width="51.28515625" style="29" customWidth="1"/>
    <col min="4" max="4" width="15" style="29" customWidth="1"/>
    <col min="5" max="16384" width="9.140625" style="29"/>
  </cols>
  <sheetData>
    <row r="1" spans="1:4" ht="15" customHeight="1">
      <c r="A1" s="180" t="s">
        <v>114</v>
      </c>
      <c r="B1" s="180"/>
      <c r="C1" s="180"/>
      <c r="D1" s="180"/>
    </row>
    <row r="2" spans="1:4" s="30" customFormat="1" ht="15" customHeight="1">
      <c r="A2" s="180"/>
      <c r="B2" s="180"/>
      <c r="C2" s="180"/>
      <c r="D2" s="180"/>
    </row>
    <row r="3" spans="1:4" ht="15" customHeight="1">
      <c r="A3" s="181" t="s">
        <v>0</v>
      </c>
      <c r="B3" s="181" t="s">
        <v>115</v>
      </c>
      <c r="C3" s="181" t="s">
        <v>112</v>
      </c>
      <c r="D3" s="182" t="s">
        <v>116</v>
      </c>
    </row>
    <row r="4" spans="1:4" ht="15" customHeight="1">
      <c r="A4" s="181"/>
      <c r="B4" s="181"/>
      <c r="C4" s="181"/>
      <c r="D4" s="181"/>
    </row>
    <row r="5" spans="1:4" ht="24.75" customHeight="1">
      <c r="A5" s="177" t="s">
        <v>117</v>
      </c>
      <c r="B5" s="178"/>
      <c r="C5" s="178"/>
      <c r="D5" s="179"/>
    </row>
    <row r="6" spans="1:4" ht="24.75" customHeight="1">
      <c r="A6" s="31">
        <v>1</v>
      </c>
      <c r="B6" s="32" t="s">
        <v>46</v>
      </c>
      <c r="C6" s="32" t="s">
        <v>47</v>
      </c>
      <c r="D6" s="33">
        <v>3.875968992248062E-2</v>
      </c>
    </row>
    <row r="7" spans="1:4" ht="24.75" customHeight="1">
      <c r="A7" s="31">
        <f t="shared" ref="A7:A27" si="0">+A6+1</f>
        <v>2</v>
      </c>
      <c r="B7" s="32" t="s">
        <v>59</v>
      </c>
      <c r="C7" s="32" t="s">
        <v>60</v>
      </c>
      <c r="D7" s="33">
        <v>1.8087855297157621E-2</v>
      </c>
    </row>
    <row r="8" spans="1:4" ht="24.75" customHeight="1">
      <c r="A8" s="31">
        <f t="shared" si="0"/>
        <v>3</v>
      </c>
      <c r="B8" s="32" t="s">
        <v>73</v>
      </c>
      <c r="C8" s="32" t="s">
        <v>72</v>
      </c>
      <c r="D8" s="33">
        <v>4.1343669250645997E-2</v>
      </c>
    </row>
    <row r="9" spans="1:4" ht="24.75" customHeight="1">
      <c r="A9" s="31">
        <f t="shared" si="0"/>
        <v>4</v>
      </c>
      <c r="B9" s="32" t="s">
        <v>71</v>
      </c>
      <c r="C9" s="32" t="s">
        <v>72</v>
      </c>
      <c r="D9" s="33">
        <v>4.1343669250645997E-2</v>
      </c>
    </row>
    <row r="10" spans="1:4" ht="24.75" customHeight="1">
      <c r="A10" s="31">
        <f t="shared" si="0"/>
        <v>5</v>
      </c>
      <c r="B10" s="32" t="s">
        <v>48</v>
      </c>
      <c r="C10" s="32" t="s">
        <v>49</v>
      </c>
      <c r="D10" s="33">
        <v>7.7519379844961239E-3</v>
      </c>
    </row>
    <row r="11" spans="1:4" ht="24.75" customHeight="1">
      <c r="A11" s="174" t="s">
        <v>118</v>
      </c>
      <c r="B11" s="175"/>
      <c r="C11" s="176"/>
      <c r="D11" s="34">
        <f>AVERAGEA(D6:D10)</f>
        <v>2.9457364341085267E-2</v>
      </c>
    </row>
    <row r="12" spans="1:4" ht="24.75" customHeight="1">
      <c r="A12" s="177" t="s">
        <v>119</v>
      </c>
      <c r="B12" s="178"/>
      <c r="C12" s="178"/>
      <c r="D12" s="179"/>
    </row>
    <row r="13" spans="1:4" ht="24.75" customHeight="1">
      <c r="A13" s="31">
        <v>6</v>
      </c>
      <c r="B13" s="32" t="s">
        <v>63</v>
      </c>
      <c r="C13" s="32" t="s">
        <v>62</v>
      </c>
      <c r="D13" s="33">
        <v>4.1343669250645997E-2</v>
      </c>
    </row>
    <row r="14" spans="1:4" ht="24.75" customHeight="1">
      <c r="A14" s="31">
        <f t="shared" si="0"/>
        <v>7</v>
      </c>
      <c r="B14" s="32" t="s">
        <v>120</v>
      </c>
      <c r="C14" s="32" t="s">
        <v>45</v>
      </c>
      <c r="D14" s="33">
        <v>4.909560723514212E-2</v>
      </c>
    </row>
    <row r="15" spans="1:4" ht="24.75" customHeight="1">
      <c r="A15" s="31">
        <f t="shared" si="0"/>
        <v>8</v>
      </c>
      <c r="B15" s="32" t="s">
        <v>66</v>
      </c>
      <c r="C15" s="32" t="s">
        <v>67</v>
      </c>
      <c r="D15" s="33">
        <v>7.2351421188630485E-2</v>
      </c>
    </row>
    <row r="16" spans="1:4" ht="24.75" customHeight="1">
      <c r="A16" s="31">
        <f t="shared" si="0"/>
        <v>9</v>
      </c>
      <c r="B16" s="32" t="s">
        <v>56</v>
      </c>
      <c r="C16" s="32" t="s">
        <v>57</v>
      </c>
      <c r="D16" s="33">
        <v>1.2919896640826873E-2</v>
      </c>
    </row>
    <row r="17" spans="1:4" ht="24.75" customHeight="1">
      <c r="A17" s="31">
        <f t="shared" si="0"/>
        <v>10</v>
      </c>
      <c r="B17" s="32" t="s">
        <v>61</v>
      </c>
      <c r="C17" s="32" t="s">
        <v>62</v>
      </c>
      <c r="D17" s="33">
        <v>0.1421188630490956</v>
      </c>
    </row>
    <row r="18" spans="1:4" ht="24.75" customHeight="1">
      <c r="A18" s="31">
        <f t="shared" si="0"/>
        <v>11</v>
      </c>
      <c r="B18" s="32" t="s">
        <v>121</v>
      </c>
      <c r="C18" s="32" t="s">
        <v>50</v>
      </c>
      <c r="D18" s="33">
        <v>0.10594315245478036</v>
      </c>
    </row>
    <row r="19" spans="1:4" ht="24.75" customHeight="1">
      <c r="A19" s="31">
        <f t="shared" si="0"/>
        <v>12</v>
      </c>
      <c r="B19" s="32" t="s">
        <v>68</v>
      </c>
      <c r="C19" s="32" t="s">
        <v>67</v>
      </c>
      <c r="D19" s="33">
        <v>9.8191214470284241E-2</v>
      </c>
    </row>
    <row r="20" spans="1:4" ht="24.75" customHeight="1">
      <c r="A20" s="31">
        <f t="shared" si="0"/>
        <v>13</v>
      </c>
      <c r="B20" s="32" t="s">
        <v>51</v>
      </c>
      <c r="C20" s="32" t="s">
        <v>52</v>
      </c>
      <c r="D20" s="33">
        <v>8.2687338501291993E-2</v>
      </c>
    </row>
    <row r="21" spans="1:4" ht="24.75" customHeight="1">
      <c r="A21" s="31">
        <f t="shared" si="0"/>
        <v>14</v>
      </c>
      <c r="B21" s="32" t="s">
        <v>53</v>
      </c>
      <c r="C21" s="32" t="s">
        <v>54</v>
      </c>
      <c r="D21" s="33">
        <v>6.4599483204134361E-2</v>
      </c>
    </row>
    <row r="22" spans="1:4" ht="24.75" customHeight="1">
      <c r="A22" s="31">
        <f t="shared" si="0"/>
        <v>15</v>
      </c>
      <c r="B22" s="32" t="s">
        <v>55</v>
      </c>
      <c r="C22" s="32" t="s">
        <v>54</v>
      </c>
      <c r="D22" s="33">
        <v>9.5607235142118857E-2</v>
      </c>
    </row>
    <row r="23" spans="1:4" ht="24.75" customHeight="1">
      <c r="A23" s="31">
        <f t="shared" si="0"/>
        <v>16</v>
      </c>
      <c r="B23" s="32" t="s">
        <v>58</v>
      </c>
      <c r="C23" s="32" t="s">
        <v>54</v>
      </c>
      <c r="D23" s="33">
        <v>9.3023255813953487E-2</v>
      </c>
    </row>
    <row r="24" spans="1:4" ht="24.75" customHeight="1">
      <c r="A24" s="31">
        <f t="shared" si="0"/>
        <v>17</v>
      </c>
      <c r="B24" s="32" t="s">
        <v>69</v>
      </c>
      <c r="C24" s="32" t="s">
        <v>70</v>
      </c>
      <c r="D24" s="33">
        <v>0.16795865633074936</v>
      </c>
    </row>
    <row r="25" spans="1:4" ht="24.75" customHeight="1">
      <c r="A25" s="31">
        <f t="shared" si="0"/>
        <v>18</v>
      </c>
      <c r="B25" s="32" t="s">
        <v>64</v>
      </c>
      <c r="C25" s="32" t="s">
        <v>65</v>
      </c>
      <c r="D25" s="33">
        <v>0.13695090439276486</v>
      </c>
    </row>
    <row r="26" spans="1:4" ht="24.75" customHeight="1">
      <c r="A26" s="31">
        <f t="shared" si="0"/>
        <v>19</v>
      </c>
      <c r="B26" s="32" t="s">
        <v>122</v>
      </c>
      <c r="C26" s="32" t="s">
        <v>60</v>
      </c>
      <c r="D26" s="33">
        <v>3.1007751937984496E-2</v>
      </c>
    </row>
    <row r="27" spans="1:4" ht="24.75" customHeight="1">
      <c r="A27" s="31">
        <f t="shared" si="0"/>
        <v>20</v>
      </c>
      <c r="B27" s="32" t="s">
        <v>123</v>
      </c>
      <c r="C27" s="32" t="s">
        <v>72</v>
      </c>
      <c r="D27" s="33">
        <v>3.1007751937984496E-2</v>
      </c>
    </row>
    <row r="28" spans="1:4" ht="24.75" customHeight="1">
      <c r="A28" s="174" t="s">
        <v>124</v>
      </c>
      <c r="B28" s="175"/>
      <c r="C28" s="176"/>
      <c r="D28" s="35">
        <f>AVERAGEA(D13:D27)</f>
        <v>8.1653746770025834E-2</v>
      </c>
    </row>
    <row r="29" spans="1:4" ht="7.5" customHeight="1"/>
    <row r="30" spans="1:4" ht="23.25" customHeight="1">
      <c r="A30" s="29" t="s">
        <v>125</v>
      </c>
    </row>
    <row r="31" spans="1:4" ht="9.75" customHeight="1"/>
  </sheetData>
  <autoFilter ref="A4:D4" xr:uid="{00000000-0009-0000-0000-000004000000}"/>
  <mergeCells count="9">
    <mergeCell ref="A11:C11"/>
    <mergeCell ref="A12:D12"/>
    <mergeCell ref="A28:C28"/>
    <mergeCell ref="A1:D2"/>
    <mergeCell ref="A3:A4"/>
    <mergeCell ref="B3:B4"/>
    <mergeCell ref="C3:C4"/>
    <mergeCell ref="D3:D4"/>
    <mergeCell ref="A5:D5"/>
  </mergeCells>
  <conditionalFormatting sqref="B15:B16">
    <cfRule type="duplicateValues" dxfId="3" priority="1"/>
    <cfRule type="duplicateValues" dxfId="2" priority="2"/>
    <cfRule type="duplicateValues" dxfId="1" priority="3"/>
    <cfRule type="duplicateValues" dxfId="0" priority="4"/>
  </conditionalFormatting>
  <printOptions horizontalCentered="1"/>
  <pageMargins left="0.3" right="0.3" top="0.3" bottom="0.4" header="0.3" footer="0.2"/>
  <pageSetup paperSize="9" scale="95" orientation="portrait" r:id="rId1"/>
  <headerFooter>
    <oddFooter>&amp;CĐỊNH MỨC VẬT TƯ DAO CỤ XƯỞNG CNC - BAN HÀNH LẦN 1&amp;RTrang &amp;P/1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DMVT</vt:lpstr>
      <vt:lpstr>KL RIENG</vt:lpstr>
      <vt:lpstr>THEP HINH</vt:lpstr>
      <vt:lpstr>VT PHU XDG</vt:lpstr>
      <vt:lpstr>VT PHU CNC</vt:lpstr>
      <vt:lpstr>DMVT!Print_Area</vt:lpstr>
      <vt:lpstr>DMVT!Print_Titles</vt:lpstr>
    </vt:vector>
  </TitlesOfParts>
  <Company>Phan Danh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Ngoc Chinh</dc:creator>
  <cp:lastModifiedBy>Vinh Lê Tấn</cp:lastModifiedBy>
  <cp:lastPrinted>2021-11-12T01:04:06Z</cp:lastPrinted>
  <dcterms:created xsi:type="dcterms:W3CDTF">2016-11-08T01:54:22Z</dcterms:created>
  <dcterms:modified xsi:type="dcterms:W3CDTF">2023-12-23T06:21:05Z</dcterms:modified>
</cp:coreProperties>
</file>